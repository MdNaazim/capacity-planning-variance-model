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Targets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<sst xmlns="http://schemas.openxmlformats.org/spreadsheetml/2006/main" count="647" uniqueCount="86">
  <si>
    <t xml:space="preserve">Capacity Planning &amp; Performance Variance Model</t>
  </si>
  <si>
    <t xml:space="preserve">All figures are SYNTHETIC (simulated for portfolio purposes; seed 21).</t>
  </si>
  <si>
    <t xml:space="preserve">Sheets</t>
  </si>
  <si>
    <t xml:space="preserve">Targets   - lookup table: facility -&gt; region and target utilisation (blue = editable input)</t>
  </si>
  <si>
    <t xml:space="preserve">Data      - 504 facility-month records (42 facilities x 12 months). Blue = inputs; black = formulas</t>
  </si>
  <si>
    <t xml:space="preserve">Summary   - region and monthly variance analysis built with SUMIFS / AVERAGEIFS / COUNTIFS</t>
  </si>
  <si>
    <t xml:space="preserve">Formulas used</t>
  </si>
  <si>
    <t xml:space="preserve">VLOOKUP (Region and Target Utilisation pulled from Targets), SUMIFS, COUNTIFS, AVERAGEIFS, IF</t>
  </si>
  <si>
    <t xml:space="preserve">Conditional formatting: Variance % colour scale, status colours, data bars on utilisation</t>
  </si>
  <si>
    <t xml:space="preserve">Definitions</t>
  </si>
  <si>
    <t xml:space="preserve">Variance = Actual Output - Planned Capacity;  Variance % = Variance / Planned;  Utilisation = Actual / Planned</t>
  </si>
  <si>
    <t xml:space="preserve">Gap vs Target = Utilisation - Target Utilisation;  Status: Under if gap &lt; -5 pts, Over if gap &gt; +5 pts, else On Track</t>
  </si>
  <si>
    <t xml:space="preserve">Status band (+/-5 pts) is in Targets!F2 and can be changed.</t>
  </si>
  <si>
    <t xml:space="preserve">Pivot Table (build in 30 seconds)</t>
  </si>
  <si>
    <t xml:space="preserve">Data sheet &gt; click any cell in the table &gt; Insert &gt; PivotTable &gt; new sheet. Rows: Region; Columns: Status;</t>
  </si>
  <si>
    <t xml:space="preserve">Values: Sum of Planned Capacity, Sum of Actual Output. (openpyxl cannot create pivot caches, so this step is manual.)</t>
  </si>
  <si>
    <t xml:space="preserve">Capacity Planning &amp; Performance Variance Summary (synthetic data)</t>
  </si>
  <si>
    <t xml:space="preserve">All values are formulas on the Data sheet. Change inputs (blue) on Data / Targets and this sheet updates.</t>
  </si>
  <si>
    <t xml:space="preserve">Region</t>
  </si>
  <si>
    <t xml:space="preserve">Planned Capacity</t>
  </si>
  <si>
    <t xml:space="preserve">Actual Output</t>
  </si>
  <si>
    <t xml:space="preserve">Variance</t>
  </si>
  <si>
    <t xml:space="preserve">Variance %</t>
  </si>
  <si>
    <t xml:space="preserve">Utilisation</t>
  </si>
  <si>
    <t xml:space="preserve">Avg Target Util.</t>
  </si>
  <si>
    <t xml:space="preserve">Gap vs Target</t>
  </si>
  <si>
    <t xml:space="preserve">Under-target Facility-Months</t>
  </si>
  <si>
    <t xml:space="preserve">% Under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</si>
  <si>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</si>
  <si>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</si>
  <si>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</si>
  <si>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</si>
  <si>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</si>
  <si>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North-East</t>
  </si>
  <si>
    <t xml:space="preserve">Total</t>
  </si>
  <si>
    <t xml:space="preserve">Monthly performance</t>
  </si>
  <si>
    <t xml:space="preserve">Month</t>
  </si>
  <si>
    <t xml:space="preserve">Facility ID</t>
  </si>
  <si>
    <t xml:space="preserve">Target Utilisation</t>
  </si>
  <si>
    <t xml:space="preserve">Base Capacity (units/month)</t>
  </si>
  <si>
    <t xml:space="preserve">Status band (+/- pts)</t>
  </si>
  <si>
    <t xml:space="preserve">F01</t>
  </si>
  <si>
    <t xml:space="preserve">F02</t>
  </si>
  <si>
    <t xml:space="preserve">Assumption: utilisation within +/-5 pts of target = On Track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</si>
  <si>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</si>
  <si>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</si>
  <si>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</si>
  <si>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</si>
  <si>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</si>
  <si>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</si>
  <si>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</si>
  <si>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</si>
  <si>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</si>
  <si>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</si>
  <si>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</si>
  <si>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</si>
  <si>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</si>
  <si>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</si>
  <si>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</si>
  <si>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</si>
  <si>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</si>
  <si>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</si>
  <si>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</si>
  <si>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</si>
  <si>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</si>
  <si>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</si>
  <si>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</si>
  <si>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</si>
  <si>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</si>
  <si>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</si>
  <si>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</si>
  <si>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</si>
  <si>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</si>
  <si>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</si>
  <si>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</si>
  <si>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</si>
  <si>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</si>
  <si>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</si>
  <si>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</si>
  <si>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</si>
  <si>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</si>
  <si>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</si>
  <si>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</si>
  <si>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</si>
  <si>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Target Util.</t>
  </si>
  <si>
    <t xml:space="preserve">Status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</si>
</sst>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[RED]\-0.0%"/>
    <numFmt numFmtId="167" formatCode="mmm\-yy"/>
    <numFmt numFmtId="168" formatCode="0%"/>
    <numFmt numFmtId="169" formatCode="#,##0"/>
    <numFmt numFmtId="170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3E0BF"/>
          <bgColor rgb="FF000000"/>
        </patternFill>
      </fill>
    </dxf>
    <dxf>
      <fill>
        <patternFill patternType="solid">
          <fgColor rgb="FFC8E8D0"/>
          <bgColor rgb="FF000000"/>
        </patternFill>
      </fill>
    </dxf>
    <dxf>
      <fill>
        <patternFill patternType="solid">
          <fgColor rgb="FFCFEBD7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6FCF7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C6D"/>
          <bgColor rgb="FF000000"/>
        </patternFill>
      </fill>
    </dxf>
    <dxf>
      <fill>
        <patternFill patternType="solid">
          <fgColor rgb="FFF86C6E"/>
          <bgColor rgb="FF000000"/>
        </patternFill>
      </fill>
    </dxf>
    <dxf>
      <fill>
        <patternFill patternType="solid">
          <fgColor rgb="FFF86D6F"/>
          <bgColor rgb="FF000000"/>
        </patternFill>
      </fill>
    </dxf>
    <dxf>
      <fill>
        <patternFill patternType="solid">
          <fgColor rgb="FFF86F71"/>
          <bgColor rgb="FF000000"/>
        </patternFill>
      </fill>
    </dxf>
    <dxf>
      <fill>
        <patternFill patternType="solid">
          <fgColor rgb="FFF87274"/>
          <bgColor rgb="FF000000"/>
        </patternFill>
      </fill>
    </dxf>
    <dxf>
      <fill>
        <patternFill patternType="solid">
          <fgColor rgb="FFF87375"/>
          <bgColor rgb="FF000000"/>
        </patternFill>
      </fill>
    </dxf>
    <dxf>
      <fill>
        <patternFill patternType="solid">
          <fgColor rgb="FFF87476"/>
          <bgColor rgb="FF000000"/>
        </patternFill>
      </fill>
    </dxf>
    <dxf>
      <fill>
        <patternFill patternType="solid">
          <fgColor rgb="FFF87678"/>
          <bgColor rgb="FF000000"/>
        </patternFill>
      </fill>
    </dxf>
    <dxf>
      <fill>
        <patternFill patternType="solid">
          <fgColor rgb="FFF87778"/>
          <bgColor rgb="FF000000"/>
        </patternFill>
      </fill>
    </dxf>
    <dxf>
      <fill>
        <patternFill patternType="solid">
          <fgColor rgb="FFF8787A"/>
          <bgColor rgb="FF000000"/>
        </patternFill>
      </fill>
    </dxf>
    <dxf>
      <fill>
        <patternFill patternType="solid">
          <fgColor rgb="FFF8797B"/>
          <bgColor rgb="FF000000"/>
        </patternFill>
      </fill>
    </dxf>
    <dxf>
      <fill>
        <patternFill patternType="solid">
          <fgColor rgb="FFF87B7C"/>
          <bgColor rgb="FF000000"/>
        </patternFill>
      </fill>
    </dxf>
    <dxf>
      <fill>
        <patternFill patternType="solid">
          <fgColor rgb="FFF87B7D"/>
          <bgColor rgb="FF000000"/>
        </patternFill>
      </fill>
    </dxf>
    <dxf>
      <fill>
        <patternFill patternType="solid">
          <fgColor rgb="FFF87C7D"/>
          <bgColor rgb="FF000000"/>
        </patternFill>
      </fill>
    </dxf>
    <dxf>
      <fill>
        <patternFill patternType="solid">
          <fgColor rgb="FFF87C7E"/>
          <bgColor rgb="FF000000"/>
        </patternFill>
      </fill>
    </dxf>
    <dxf>
      <fill>
        <patternFill patternType="solid">
          <fgColor rgb="FFF87D7E"/>
          <bgColor rgb="FF000000"/>
        </patternFill>
      </fill>
    </dxf>
    <dxf>
      <fill>
        <patternFill patternType="solid">
          <fgColor rgb="FFF87D7F"/>
          <bgColor rgb="FF000000"/>
        </patternFill>
      </fill>
    </dxf>
    <dxf>
      <fill>
        <patternFill patternType="solid">
          <fgColor rgb="FFF87E7F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7F80"/>
          <bgColor rgb="FF000000"/>
        </patternFill>
      </fill>
    </dxf>
    <dxf>
      <fill>
        <patternFill patternType="solid">
          <fgColor rgb="FFF97F81"/>
          <bgColor rgb="FF000000"/>
        </patternFill>
      </fill>
    </dxf>
    <dxf>
      <fill>
        <patternFill patternType="solid">
          <fgColor rgb="FFF98081"/>
          <bgColor rgb="FF000000"/>
        </patternFill>
      </fill>
    </dxf>
    <dxf>
      <fill>
        <patternFill patternType="solid">
          <fgColor rgb="FFF98182"/>
          <bgColor rgb="FF000000"/>
        </patternFill>
      </fill>
    </dxf>
    <dxf>
      <fill>
        <patternFill patternType="solid">
          <fgColor rgb="FFF98183"/>
          <bgColor rgb="FF000000"/>
        </patternFill>
      </fill>
    </dxf>
    <dxf>
      <fill>
        <patternFill patternType="solid">
          <fgColor rgb="FFF98283"/>
          <bgColor rgb="FF000000"/>
        </patternFill>
      </fill>
    </dxf>
    <dxf>
      <fill>
        <patternFill patternType="solid">
          <fgColor rgb="FFF98284"/>
          <bgColor rgb="FF000000"/>
        </patternFill>
      </fill>
    </dxf>
    <dxf>
      <fill>
        <patternFill patternType="solid">
          <fgColor rgb="FFF98384"/>
          <bgColor rgb="FF000000"/>
        </patternFill>
      </fill>
    </dxf>
    <dxf>
      <fill>
        <patternFill patternType="solid">
          <fgColor rgb="FFF98385"/>
          <bgColor rgb="FF000000"/>
        </patternFill>
      </fill>
    </dxf>
    <dxf>
      <fill>
        <patternFill patternType="solid">
          <fgColor rgb="FFF98485"/>
          <bgColor rgb="FF000000"/>
        </patternFill>
      </fill>
    </dxf>
    <dxf>
      <fill>
        <patternFill patternType="solid">
          <fgColor rgb="FFF98486"/>
          <bgColor rgb="FF000000"/>
        </patternFill>
      </fill>
    </dxf>
    <dxf>
      <fill>
        <patternFill patternType="solid">
          <fgColor rgb="FFF98587"/>
          <bgColor rgb="FF000000"/>
        </patternFill>
      </fill>
    </dxf>
    <dxf>
      <fill>
        <patternFill patternType="solid">
          <fgColor rgb="FFF98688"/>
          <bgColor rgb="FF000000"/>
        </patternFill>
      </fill>
    </dxf>
    <dxf>
      <fill>
        <patternFill patternType="solid">
          <fgColor rgb="FFF98788"/>
          <bgColor rgb="FF000000"/>
        </patternFill>
      </fill>
    </dxf>
    <dxf>
      <fill>
        <patternFill patternType="solid">
          <fgColor rgb="FFF9888A"/>
          <bgColor rgb="FF000000"/>
        </patternFill>
      </fill>
    </dxf>
    <dxf>
      <fill>
        <patternFill patternType="solid">
          <fgColor rgb="FFF9898B"/>
          <bgColor rgb="FF000000"/>
        </patternFill>
      </fill>
    </dxf>
    <dxf>
      <fill>
        <patternFill patternType="solid">
          <fgColor rgb="FFF98A8B"/>
          <bgColor rgb="FF000000"/>
        </patternFill>
      </fill>
    </dxf>
    <dxf>
      <fill>
        <patternFill patternType="solid">
          <fgColor rgb="FFF98A8C"/>
          <bgColor rgb="FF000000"/>
        </patternFill>
      </fill>
    </dxf>
    <dxf>
      <fill>
        <patternFill patternType="solid">
          <fgColor rgb="FFF98B8C"/>
          <bgColor rgb="FF000000"/>
        </patternFill>
      </fill>
    </dxf>
    <dxf>
      <fill>
        <patternFill patternType="solid">
          <fgColor rgb="FFF98B8D"/>
          <bgColor rgb="FF000000"/>
        </patternFill>
      </fill>
    </dxf>
    <dxf>
      <fill>
        <patternFill patternType="solid">
          <fgColor rgb="FFF98C8D"/>
          <bgColor rgb="FF000000"/>
        </patternFill>
      </fill>
    </dxf>
    <dxf>
      <fill>
        <patternFill patternType="solid">
          <fgColor rgb="FFF98C8E"/>
          <bgColor rgb="FF000000"/>
        </patternFill>
      </fill>
    </dxf>
    <dxf>
      <fill>
        <patternFill patternType="solid">
          <fgColor rgb="FFF98D8E"/>
          <bgColor rgb="FF000000"/>
        </patternFill>
      </fill>
    </dxf>
    <dxf>
      <fill>
        <patternFill patternType="solid">
          <fgColor rgb="FFF98D8F"/>
          <bgColor rgb="FF000000"/>
        </patternFill>
      </fill>
    </dxf>
    <dxf>
      <fill>
        <patternFill patternType="solid">
          <fgColor rgb="FFF98E8F"/>
          <bgColor rgb="FF000000"/>
        </patternFill>
      </fill>
    </dxf>
    <dxf>
      <fill>
        <patternFill patternType="solid">
          <fgColor rgb="FFF98E90"/>
          <bgColor rgb="FF000000"/>
        </patternFill>
      </fill>
    </dxf>
    <dxf>
      <fill>
        <patternFill patternType="solid">
          <fgColor rgb="FFF98F91"/>
          <bgColor rgb="FF000000"/>
        </patternFill>
      </fill>
    </dxf>
    <dxf>
      <fill>
        <patternFill patternType="solid">
          <fgColor rgb="FFF99092"/>
          <bgColor rgb="FF000000"/>
        </patternFill>
      </fill>
    </dxf>
    <dxf>
      <fill>
        <patternFill patternType="solid">
          <fgColor rgb="FFF99193"/>
          <bgColor rgb="FF000000"/>
        </patternFill>
      </fill>
    </dxf>
    <dxf>
      <fill>
        <patternFill patternType="solid">
          <fgColor rgb="FFF99293"/>
          <bgColor rgb="FF000000"/>
        </patternFill>
      </fill>
    </dxf>
    <dxf>
      <fill>
        <patternFill patternType="solid">
          <fgColor rgb="FFF99394"/>
          <bgColor rgb="FF000000"/>
        </patternFill>
      </fill>
    </dxf>
    <dxf>
      <fill>
        <patternFill patternType="solid">
          <fgColor rgb="FFF99395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A9495"/>
          <bgColor rgb="FF000000"/>
        </patternFill>
      </fill>
    </dxf>
    <dxf>
      <fill>
        <patternFill patternType="solid">
          <fgColor rgb="FFFA9596"/>
          <bgColor rgb="FF000000"/>
        </patternFill>
      </fill>
    </dxf>
    <dxf>
      <fill>
        <patternFill patternType="solid">
          <fgColor rgb="FFFA9597"/>
          <bgColor rgb="FF000000"/>
        </patternFill>
      </fill>
    </dxf>
    <dxf>
      <fill>
        <patternFill patternType="solid">
          <fgColor rgb="FFFA9697"/>
          <bgColor rgb="FF000000"/>
        </patternFill>
      </fill>
    </dxf>
    <dxf>
      <fill>
        <patternFill patternType="solid">
          <fgColor rgb="FFFA9698"/>
          <bgColor rgb="FF000000"/>
        </patternFill>
      </fill>
    </dxf>
    <dxf>
      <fill>
        <patternFill patternType="solid">
          <fgColor rgb="FFFA9798"/>
          <bgColor rgb="FF000000"/>
        </patternFill>
      </fill>
    </dxf>
    <dxf>
      <fill>
        <patternFill patternType="solid">
          <fgColor rgb="FFFA9799"/>
          <bgColor rgb="FF000000"/>
        </patternFill>
      </fill>
    </dxf>
    <dxf>
      <fill>
        <patternFill patternType="solid">
          <fgColor rgb="FFFA9899"/>
          <bgColor rgb="FF000000"/>
        </patternFill>
      </fill>
    </dxf>
    <dxf>
      <fill>
        <patternFill patternType="solid">
          <fgColor rgb="FFFA989A"/>
          <bgColor rgb="FF000000"/>
        </patternFill>
      </fill>
    </dxf>
    <dxf>
      <fill>
        <patternFill patternType="solid">
          <fgColor rgb="FFFA999A"/>
          <bgColor rgb="FF000000"/>
        </patternFill>
      </fill>
    </dxf>
    <dxf>
      <fill>
        <patternFill patternType="solid">
          <fgColor rgb="FFFA9A9B"/>
          <bgColor rgb="FF000000"/>
        </patternFill>
      </fill>
    </dxf>
    <dxf>
      <fill>
        <patternFill patternType="solid">
          <fgColor rgb="FFFA9B9C"/>
          <bgColor rgb="FF000000"/>
        </patternFill>
      </fill>
    </dxf>
    <dxf>
      <fill>
        <patternFill patternType="solid">
          <fgColor rgb="FFFA9B9D"/>
          <bgColor rgb="FF000000"/>
        </patternFill>
      </fill>
    </dxf>
    <dxf>
      <fill>
        <patternFill patternType="solid">
          <fgColor rgb="FFFA9C9D"/>
          <bgColor rgb="FF000000"/>
        </patternFill>
      </fill>
    </dxf>
    <dxf>
      <fill>
        <patternFill patternType="solid">
          <fgColor rgb="FFFA9C9E"/>
          <bgColor rgb="FF000000"/>
        </patternFill>
      </fill>
    </dxf>
    <dxf>
      <fill>
        <patternFill patternType="solid">
          <fgColor rgb="FFFA9D9E"/>
          <bgColor rgb="FF000000"/>
        </patternFill>
      </fill>
    </dxf>
    <dxf>
      <fill>
        <patternFill patternType="solid">
          <fgColor rgb="FFFA9E9F"/>
          <bgColor rgb="FF000000"/>
        </patternFill>
      </fill>
    </dxf>
    <dxf>
      <fill>
        <patternFill patternType="solid">
          <fgColor rgb="FFFA9EA0"/>
          <bgColor rgb="FF000000"/>
        </patternFill>
      </fill>
    </dxf>
    <dxf>
      <fill>
        <patternFill patternType="solid">
          <fgColor rgb="FFFA9FA0"/>
          <bgColor rgb="FF000000"/>
        </patternFill>
      </fill>
    </dxf>
    <dxf>
      <fill>
        <patternFill patternType="solid">
          <fgColor rgb="FFFAA0A1"/>
          <bgColor rgb="FF000000"/>
        </patternFill>
      </fill>
    </dxf>
    <dxf>
      <fill>
        <patternFill patternType="solid">
          <fgColor rgb="FFFAA0A2"/>
          <bgColor rgb="FF000000"/>
        </patternFill>
      </fill>
    </dxf>
    <dxf>
      <fill>
        <patternFill patternType="solid">
          <fgColor rgb="FFFAA1A2"/>
          <bgColor rgb="FF000000"/>
        </patternFill>
      </fill>
    </dxf>
    <dxf>
      <fill>
        <patternFill patternType="solid">
          <fgColor rgb="FFFAA1A3"/>
          <bgColor rgb="FF000000"/>
        </patternFill>
      </fill>
    </dxf>
    <dxf>
      <fill>
        <patternFill patternType="solid">
          <fgColor rgb="FFFAA2A3"/>
          <bgColor rgb="FF000000"/>
        </patternFill>
      </fill>
    </dxf>
    <dxf>
      <fill>
        <patternFill patternType="solid">
          <fgColor rgb="FFFAA2A4"/>
          <bgColor rgb="FF000000"/>
        </patternFill>
      </fill>
    </dxf>
    <dxf>
      <fill>
        <patternFill patternType="solid">
          <fgColor rgb="FFFAA3A4"/>
          <bgColor rgb="FF000000"/>
        </patternFill>
      </fill>
    </dxf>
    <dxf>
      <fill>
        <patternFill patternType="solid">
          <fgColor rgb="FFFAA4A5"/>
          <bgColor rgb="FF000000"/>
        </patternFill>
      </fill>
    </dxf>
    <dxf>
      <fill>
        <patternFill patternType="solid">
          <fgColor rgb="FFFAA5A6"/>
          <bgColor rgb="FF000000"/>
        </patternFill>
      </fill>
    </dxf>
    <dxf>
      <fill>
        <patternFill patternType="solid">
          <fgColor rgb="FFFAA5A7"/>
          <bgColor rgb="FF000000"/>
        </patternFill>
      </fill>
    </dxf>
    <dxf>
      <fill>
        <patternFill patternType="solid">
          <fgColor rgb="FFFAA6A7"/>
          <bgColor rgb="FF000000"/>
        </patternFill>
      </fill>
    </dxf>
    <dxf>
      <fill>
        <patternFill patternType="solid">
          <fgColor rgb="FFFAA6A8"/>
          <bgColor rgb="FF000000"/>
        </patternFill>
      </fill>
    </dxf>
    <dxf>
      <fill>
        <patternFill patternType="solid">
          <fgColor rgb="FFFAA7A8"/>
          <bgColor rgb="FF000000"/>
        </patternFill>
      </fill>
    </dxf>
    <dxf>
      <fill>
        <patternFill patternType="solid">
          <fgColor rgb="FFFAA8A9"/>
          <bgColor rgb="FF000000"/>
        </patternFill>
      </fill>
    </dxf>
    <dxf>
      <fill>
        <patternFill patternType="solid">
          <fgColor rgb="FFFAA8AA"/>
          <bgColor rgb="FF000000"/>
        </patternFill>
      </fill>
    </dxf>
    <dxf>
      <fill>
        <patternFill patternType="solid">
          <fgColor rgb="FFFAA9A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A9AA"/>
          <bgColor rgb="FF000000"/>
        </patternFill>
      </fill>
    </dxf>
    <dxf>
      <fill>
        <patternFill patternType="solid">
          <fgColor rgb="FFFBAAAB"/>
          <bgColor rgb="FF000000"/>
        </patternFill>
      </fill>
    </dxf>
    <dxf>
      <fill>
        <patternFill patternType="solid">
          <fgColor rgb="FFFBAAAC"/>
          <bgColor rgb="FF000000"/>
        </patternFill>
      </fill>
    </dxf>
    <dxf>
      <fill>
        <patternFill patternType="solid">
          <fgColor rgb="FFFBABAC"/>
          <bgColor rgb="FF000000"/>
        </patternFill>
      </fill>
    </dxf>
    <dxf>
      <fill>
        <patternFill patternType="solid">
          <fgColor rgb="FFFBABAD"/>
          <bgColor rgb="FF000000"/>
        </patternFill>
      </fill>
    </dxf>
    <dxf>
      <fill>
        <patternFill patternType="solid">
          <fgColor rgb="FFFBACAD"/>
          <bgColor rgb="FF000000"/>
        </patternFill>
      </fill>
    </dxf>
    <dxf>
      <fill>
        <patternFill patternType="solid">
          <fgColor rgb="FFFBACAE"/>
          <bgColor rgb="FF000000"/>
        </patternFill>
      </fill>
    </dxf>
    <dxf>
      <fill>
        <patternFill patternType="solid">
          <fgColor rgb="FFFBADAE"/>
          <bgColor rgb="FF000000"/>
        </patternFill>
      </fill>
    </dxf>
    <dxf>
      <fill>
        <patternFill patternType="solid">
          <fgColor rgb="FFFBADAF"/>
          <bgColor rgb="FF000000"/>
        </patternFill>
      </fill>
    </dxf>
    <dxf>
      <fill>
        <patternFill patternType="solid">
          <fgColor rgb="FFFBAEAF"/>
          <bgColor rgb="FF000000"/>
        </patternFill>
      </fill>
    </dxf>
    <dxf>
      <fill>
        <patternFill patternType="solid">
          <fgColor rgb="FFFBAFB0"/>
          <bgColor rgb="FF000000"/>
        </patternFill>
      </fill>
    </dxf>
    <dxf>
      <fill>
        <patternFill patternType="solid">
          <fgColor rgb="FFFBB0B1"/>
          <bgColor rgb="FF000000"/>
        </patternFill>
      </fill>
    </dxf>
    <dxf>
      <fill>
        <patternFill patternType="solid">
          <fgColor rgb="FFFBB1B2"/>
          <bgColor rgb="FF000000"/>
        </patternFill>
      </fill>
    </dxf>
    <dxf>
      <fill>
        <patternFill patternType="solid">
          <fgColor rgb="FFFBB2B3"/>
          <bgColor rgb="FF000000"/>
        </patternFill>
      </fill>
    </dxf>
    <dxf>
      <fill>
        <patternFill patternType="solid">
          <fgColor rgb="FFFBB3B4"/>
          <bgColor rgb="FF000000"/>
        </patternFill>
      </fill>
    </dxf>
    <dxf>
      <fill>
        <patternFill patternType="solid">
          <fgColor rgb="FFFBB4B5"/>
          <bgColor rgb="FF000000"/>
        </patternFill>
      </fill>
    </dxf>
    <dxf>
      <fill>
        <patternFill patternType="solid">
          <fgColor rgb="FFFBB5B6"/>
          <bgColor rgb="FF000000"/>
        </patternFill>
      </fill>
    </dxf>
    <dxf>
      <fill>
        <patternFill patternType="solid">
          <fgColor rgb="FFFBB6B7"/>
          <bgColor rgb="FF000000"/>
        </patternFill>
      </fill>
    </dxf>
    <dxf>
      <fill>
        <patternFill patternType="solid">
          <fgColor rgb="FFFBB7B7"/>
          <bgColor rgb="FF000000"/>
        </patternFill>
      </fill>
    </dxf>
    <dxf>
      <fill>
        <patternFill patternType="solid">
          <fgColor rgb="FFFBB7B8"/>
          <bgColor rgb="FF000000"/>
        </patternFill>
      </fill>
    </dxf>
    <dxf>
      <fill>
        <patternFill patternType="solid">
          <fgColor rgb="FFFBB8B9"/>
          <bgColor rgb="FF000000"/>
        </patternFill>
      </fill>
    </dxf>
    <dxf>
      <fill>
        <patternFill patternType="solid">
          <fgColor rgb="FFFBB9BA"/>
          <bgColor rgb="FF000000"/>
        </patternFill>
      </fill>
    </dxf>
    <dxf>
      <fill>
        <patternFill patternType="solid">
          <fgColor rgb="FFFBBABA"/>
          <bgColor rgb="FF000000"/>
        </patternFill>
      </fill>
    </dxf>
    <dxf>
      <fill>
        <patternFill patternType="solid">
          <fgColor rgb="FFFBBABB"/>
          <bgColor rgb="FF000000"/>
        </patternFill>
      </fill>
    </dxf>
    <dxf>
      <fill>
        <patternFill patternType="solid">
          <fgColor rgb="FFFBBBBB"/>
          <bgColor rgb="FF000000"/>
        </patternFill>
      </fill>
    </dxf>
    <dxf>
      <fill>
        <patternFill patternType="solid">
          <fgColor rgb="FFFBBBBC"/>
          <bgColor rgb="FF000000"/>
        </patternFill>
      </fill>
    </dxf>
    <dxf>
      <fill>
        <patternFill patternType="solid">
          <fgColor rgb="FFFBBCBD"/>
          <bgColor rgb="FF000000"/>
        </patternFill>
      </fill>
    </dxf>
    <dxf>
      <fill>
        <patternFill patternType="solid">
          <fgColor rgb="FFFBBDBE"/>
          <bgColor rgb="FF000000"/>
        </patternFill>
      </fill>
    </dxf>
    <dxf>
      <fill>
        <patternFill patternType="solid">
          <fgColor rgb="FFFBBEBF"/>
          <bgColor rgb="FF000000"/>
        </patternFill>
      </fill>
    </dxf>
    <dxf>
      <fill>
        <patternFill patternType="solid">
          <fgColor rgb="FFFCBEBF"/>
          <bgColor rgb="FF000000"/>
        </patternFill>
      </fill>
    </dxf>
    <dxf>
      <fill>
        <patternFill patternType="solid">
          <fgColor rgb="FFFCBFC0"/>
          <bgColor rgb="FF000000"/>
        </patternFill>
      </fill>
    </dxf>
    <dxf>
      <fill>
        <patternFill patternType="solid">
          <fgColor rgb="FFFCC0C0"/>
          <bgColor rgb="FF000000"/>
        </patternFill>
      </fill>
    </dxf>
    <dxf>
      <fill>
        <patternFill patternType="solid">
          <fgColor rgb="FFFCC0C1"/>
          <bgColor rgb="FF000000"/>
        </patternFill>
      </fill>
    </dxf>
    <dxf>
      <fill>
        <patternFill patternType="solid">
          <fgColor rgb="FFFCC1C2"/>
          <bgColor rgb="FF000000"/>
        </patternFill>
      </fill>
    </dxf>
    <dxf>
      <fill>
        <patternFill patternType="solid">
          <fgColor rgb="FFFCC2C2"/>
          <bgColor rgb="FF000000"/>
        </patternFill>
      </fill>
    </dxf>
    <dxf>
      <fill>
        <patternFill patternType="solid">
          <fgColor rgb="FFFCC2C3"/>
          <bgColor rgb="FF000000"/>
        </patternFill>
      </fill>
    </dxf>
    <dxf>
      <fill>
        <patternFill patternType="solid">
          <fgColor rgb="FFFCC3C3"/>
          <bgColor rgb="FF000000"/>
        </patternFill>
      </fill>
    </dxf>
    <dxf>
      <fill>
        <patternFill patternType="solid">
          <fgColor rgb="FFFCC3C4"/>
          <bgColor rgb="FF000000"/>
        </patternFill>
      </fill>
    </dxf>
    <dxf>
      <fill>
        <patternFill patternType="solid">
          <fgColor rgb="FFFCC4C5"/>
          <bgColor rgb="FF000000"/>
        </patternFill>
      </fill>
    </dxf>
    <dxf>
      <fill>
        <patternFill patternType="solid">
          <fgColor rgb="FFFCC5C6"/>
          <bgColor rgb="FF000000"/>
        </patternFill>
      </fill>
    </dxf>
    <dxf>
      <fill>
        <patternFill patternType="solid">
          <fgColor rgb="FFFCC6C6"/>
          <bgColor rgb="FF000000"/>
        </patternFill>
      </fill>
    </dxf>
    <dxf>
      <fill>
        <patternFill patternType="solid">
          <fgColor rgb="FFFCC6C7"/>
          <bgColor rgb="FF000000"/>
        </patternFill>
      </fill>
    </dxf>
    <dxf>
      <fill>
        <patternFill patternType="solid">
          <fgColor rgb="FFFCC7C7"/>
          <bgColor rgb="FF000000"/>
        </patternFill>
      </fill>
    </dxf>
    <dxf>
      <fill>
        <patternFill patternType="solid">
          <fgColor rgb="FFFCC7C8"/>
          <bgColor rgb="FF000000"/>
        </patternFill>
      </fill>
    </dxf>
    <dxf>
      <fill>
        <patternFill patternType="solid">
          <fgColor rgb="FFFCC8C8"/>
          <bgColor rgb="FF000000"/>
        </patternFill>
      </fill>
    </dxf>
    <dxf>
      <fill>
        <patternFill patternType="solid">
          <fgColor rgb="FFFCC8C9"/>
          <bgColor rgb="FF000000"/>
        </patternFill>
      </fill>
    </dxf>
    <dxf>
      <fill>
        <patternFill patternType="solid">
          <fgColor rgb="FFFCC9C9"/>
          <bgColor rgb="FF000000"/>
        </patternFill>
      </fill>
    </dxf>
    <dxf>
      <fill>
        <patternFill patternType="solid">
          <fgColor rgb="FFFCC9CA"/>
          <bgColor rgb="FF000000"/>
        </patternFill>
      </fill>
    </dxf>
    <dxf>
      <fill>
        <patternFill patternType="solid">
          <fgColor rgb="FFFCCACA"/>
          <bgColor rgb="FF000000"/>
        </patternFill>
      </fill>
    </dxf>
    <dxf>
      <fill>
        <patternFill patternType="solid">
          <fgColor rgb="FFFCCACB"/>
          <bgColor rgb="FF000000"/>
        </patternFill>
      </fill>
    </dxf>
    <dxf>
      <fill>
        <patternFill patternType="solid">
          <fgColor rgb="FFFCCBCC"/>
          <bgColor rgb="FF000000"/>
        </patternFill>
      </fill>
    </dxf>
    <dxf>
      <fill>
        <patternFill patternType="solid">
          <fgColor rgb="FFFCCCCC"/>
          <bgColor rgb="FF000000"/>
        </patternFill>
      </fill>
    </dxf>
    <dxf>
      <fill>
        <patternFill patternType="solid">
          <fgColor rgb="FFFCCCCD"/>
          <bgColor rgb="FF000000"/>
        </patternFill>
      </fill>
    </dxf>
    <dxf>
      <fill>
        <patternFill patternType="solid">
          <fgColor rgb="FFFCCDCD"/>
          <bgColor rgb="FF000000"/>
        </patternFill>
      </fill>
    </dxf>
    <dxf>
      <fill>
        <patternFill patternType="solid">
          <fgColor rgb="FFFCCDCE"/>
          <bgColor rgb="FF000000"/>
        </patternFill>
      </fill>
    </dxf>
    <dxf>
      <fill>
        <patternFill patternType="solid">
          <fgColor rgb="FFFCCECE"/>
          <bgColor rgb="FF000000"/>
        </patternFill>
      </fill>
    </dxf>
    <dxf>
      <fill>
        <patternFill patternType="solid">
          <fgColor rgb="FFFCCECF"/>
          <bgColor rgb="FF000000"/>
        </patternFill>
      </fill>
    </dxf>
    <dxf>
      <fill>
        <patternFill patternType="solid">
          <fgColor rgb="FFFCCFCF"/>
          <bgColor rgb="FF000000"/>
        </patternFill>
      </fill>
    </dxf>
    <dxf>
      <fill>
        <patternFill patternType="solid">
          <fgColor rgb="FFFCCFD0"/>
          <bgColor rgb="FF000000"/>
        </patternFill>
      </fill>
    </dxf>
    <dxf>
      <fill>
        <patternFill patternType="solid">
          <fgColor rgb="FFFCD0D1"/>
          <bgColor rgb="FF000000"/>
        </patternFill>
      </fill>
    </dxf>
    <dxf>
      <fill>
        <patternFill patternType="solid">
          <fgColor rgb="FFFCD1D2"/>
          <bgColor rgb="FF000000"/>
        </patternFill>
      </fill>
    </dxf>
    <dxf>
      <fill>
        <patternFill patternType="solid">
          <fgColor rgb="FFFCD2D2"/>
          <bgColor rgb="FF000000"/>
        </patternFill>
      </fill>
    </dxf>
    <dxf>
      <fill>
        <patternFill patternType="solid">
          <fgColor rgb="FFFCD2D3"/>
          <bgColor rgb="FF000000"/>
        </patternFill>
      </fill>
    </dxf>
    <dxf>
      <fill>
        <patternFill patternType="solid">
          <fgColor rgb="FFFCD3D4"/>
          <bgColor rgb="FF000000"/>
        </patternFill>
      </fill>
    </dxf>
    <dxf>
      <fill>
        <patternFill patternType="solid">
          <fgColor rgb="FFFDD4D5"/>
          <bgColor rgb="FF000000"/>
        </patternFill>
      </fill>
    </dxf>
    <dxf>
      <fill>
        <patternFill patternType="solid">
          <fgColor rgb="FFFDD5D5"/>
          <bgColor rgb="FF000000"/>
        </patternFill>
      </fill>
    </dxf>
    <dxf>
      <fill>
        <patternFill patternType="solid">
          <fgColor rgb="FFFDD5D6"/>
          <bgColor rgb="FF000000"/>
        </patternFill>
      </fill>
    </dxf>
    <dxf>
      <fill>
        <patternFill patternType="solid">
          <fgColor rgb="FFFDD6D6"/>
          <bgColor rgb="FF000000"/>
        </patternFill>
      </fill>
    </dxf>
    <dxf>
      <fill>
        <patternFill patternType="solid">
          <fgColor rgb="FFFDD6D7"/>
          <bgColor rgb="FF000000"/>
        </patternFill>
      </fill>
    </dxf>
    <dxf>
      <fill>
        <patternFill patternType="solid">
          <fgColor rgb="FFFDD7D7"/>
          <bgColor rgb="FF000000"/>
        </patternFill>
      </fill>
    </dxf>
    <dxf>
      <fill>
        <patternFill patternType="solid">
          <fgColor rgb="FFFDD8D8"/>
          <bgColor rgb="FF000000"/>
        </patternFill>
      </fill>
    </dxf>
    <dxf>
      <fill>
        <patternFill patternType="solid">
          <fgColor rgb="FFFDD8D9"/>
          <bgColor rgb="FF000000"/>
        </patternFill>
      </fill>
    </dxf>
    <dxf>
      <fill>
        <patternFill patternType="solid">
          <fgColor rgb="FFFDD9D9"/>
          <bgColor rgb="FF000000"/>
        </patternFill>
      </fill>
    </dxf>
    <dxf>
      <fill>
        <patternFill patternType="solid">
          <fgColor rgb="FFFDDADA"/>
          <bgColor rgb="FF000000"/>
        </patternFill>
      </fill>
    </dxf>
    <dxf>
      <fill>
        <patternFill patternType="solid">
          <fgColor rgb="FFFDDADB"/>
          <bgColor rgb="FF000000"/>
        </patternFill>
      </fill>
    </dxf>
    <dxf>
      <fill>
        <patternFill patternType="solid">
          <fgColor rgb="FFFDDBDB"/>
          <bgColor rgb="FF000000"/>
        </patternFill>
      </fill>
    </dxf>
    <dxf>
      <fill>
        <patternFill patternType="solid">
          <fgColor rgb="FFFDDBDC"/>
          <bgColor rgb="FF000000"/>
        </patternFill>
      </fill>
    </dxf>
    <dxf>
      <fill>
        <patternFill patternType="solid">
          <fgColor rgb="FFFDDCDC"/>
          <bgColor rgb="FF000000"/>
        </patternFill>
      </fill>
    </dxf>
    <dxf>
      <fill>
        <patternFill patternType="solid">
          <fgColor rgb="FFFDDCDD"/>
          <bgColor rgb="FF000000"/>
        </patternFill>
      </fill>
    </dxf>
    <dxf>
      <fill>
        <patternFill patternType="solid">
          <fgColor rgb="FFFDDDDD"/>
          <bgColor rgb="FF000000"/>
        </patternFill>
      </fill>
    </dxf>
    <dxf>
      <fill>
        <patternFill patternType="solid">
          <fgColor rgb="FFFDDDDE"/>
          <bgColor rgb="FF000000"/>
        </patternFill>
      </fill>
    </dxf>
    <dxf>
      <fill>
        <patternFill patternType="solid">
          <fgColor rgb="FFFDDEDE"/>
          <bgColor rgb="FF000000"/>
        </patternFill>
      </fill>
    </dxf>
    <dxf>
      <fill>
        <patternFill patternType="solid">
          <fgColor rgb="FFFDDEDF"/>
          <bgColor rgb="FF000000"/>
        </patternFill>
      </fill>
    </dxf>
    <dxf>
      <fill>
        <patternFill patternType="solid">
          <fgColor rgb="FFFDE0E1"/>
          <bgColor rgb="FF000000"/>
        </patternFill>
      </fill>
    </dxf>
    <dxf>
      <fill>
        <patternFill patternType="solid">
          <fgColor rgb="FFFDE1E1"/>
          <bgColor rgb="FF000000"/>
        </patternFill>
      </fill>
    </dxf>
    <dxf>
      <fill>
        <patternFill patternType="solid">
          <fgColor rgb="FFFDE1E2"/>
          <bgColor rgb="FF000000"/>
        </patternFill>
      </fill>
    </dxf>
    <dxf>
      <fill>
        <patternFill patternType="solid">
          <fgColor rgb="FFFDE4E4"/>
          <bgColor rgb="FF000000"/>
        </patternFill>
      </fill>
    </dxf>
    <dxf>
      <fill>
        <patternFill patternType="solid">
          <fgColor rgb="FFFDE5E5"/>
          <bgColor rgb="FF000000"/>
        </patternFill>
      </fill>
    </dxf>
    <dxf>
      <fill>
        <patternFill patternType="solid">
          <fgColor rgb="FFFDE6E6"/>
          <bgColor rgb="FF000000"/>
        </patternFill>
      </fill>
    </dxf>
    <dxf>
      <fill>
        <patternFill patternType="solid">
          <fgColor rgb="FFFDE6E7"/>
          <bgColor rgb="FF000000"/>
        </patternFill>
      </fill>
    </dxf>
    <dxf>
      <fill>
        <patternFill patternType="solid">
          <fgColor rgb="FFFDE7E7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EE9EA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EECEC"/>
          <bgColor rgb="FF000000"/>
        </patternFill>
      </fill>
    </dxf>
    <dxf>
      <fill>
        <patternFill patternType="solid">
          <fgColor rgb="FFFEECED"/>
          <bgColor rgb="FF000000"/>
        </patternFill>
      </fill>
    </dxf>
    <dxf>
      <fill>
        <patternFill patternType="solid">
          <fgColor rgb="FFFEEEEF"/>
          <bgColor rgb="FF000000"/>
        </patternFill>
      </fill>
    </dxf>
    <dxf>
      <fill>
        <patternFill patternType="solid">
          <fgColor rgb="FFFEEFEF"/>
          <bgColor rgb="FF000000"/>
        </patternFill>
      </fill>
    </dxf>
    <dxf>
      <fill>
        <patternFill patternType="solid">
          <fgColor rgb="FFFEEFF0"/>
          <bgColor rgb="FF000000"/>
        </patternFill>
      </fill>
    </dxf>
    <dxf>
      <fill>
        <patternFill patternType="solid">
          <fgColor rgb="FFFEF1F1"/>
          <bgColor rgb="FF000000"/>
        </patternFill>
      </fill>
    </dxf>
    <dxf>
      <fill>
        <patternFill patternType="solid">
          <fgColor rgb="FFFEF3F3"/>
          <bgColor rgb="FF000000"/>
        </patternFill>
      </fill>
    </dxf>
    <dxf>
      <fill>
        <patternFill patternType="solid">
          <fgColor rgb="FFFEF5F6"/>
          <bgColor rgb="FF000000"/>
        </patternFill>
      </fill>
    </dxf>
    <dxf>
      <fill>
        <patternFill patternType="solid">
          <fgColor rgb="FFFEF7F7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Utilisation vs Target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Summary!F4</c:f>
              <c:strCache>
                <c:ptCount val="1"/>
                <c:pt idx="0">
                  <c:v>Utilisation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North-East</c:v>
                </c:pt>
              </c:strCache>
            </c:strRef>
          </c:cat>
          <c:val>
            <c:numRef>
              <c:f>Summary!$F$5:$F$10</c:f>
              <c:numCache>
                <c:formatCode>0.0%;[RED]\-0.0%</c:formatCode>
                <c:ptCount val="6"/>
                <c:pt idx="0">
                  <c:v>0.87510178838324</c:v>
                </c:pt>
                <c:pt idx="1">
                  <c:v>0.819707071811127</c:v>
                </c:pt>
                <c:pt idx="2">
                  <c:v>0.869861715177875</c:v>
                </c:pt>
                <c:pt idx="3">
                  <c:v>0.949588527169309</c:v>
                </c:pt>
                <c:pt idx="4">
                  <c:v>0.829630722038698</c:v>
                </c:pt>
                <c:pt idx="5">
                  <c:v>0.824907705600503</c:v>
                </c:pt>
              </c:numCache>
            </c:numRef>
          </c:val>
        </c:ser>
        <c:ser>
          <c:idx val="1"/>
          <c:order val="1"/>
          <c:tx>
            <c:strRef>
              <c:f>Summary!G4</c:f>
              <c:strCache>
                <c:ptCount val="1"/>
                <c:pt idx="0">
                  <c:v>Avg Target Util.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North-East</c:v>
                </c:pt>
              </c:strCache>
            </c:strRef>
          </c:cat>
          <c:val>
            <c:numRef>
              <c:f>Summary!$G$5:$G$10</c:f>
              <c:numCache>
                <c:formatCode>0.0%;[RED]\-0.0%</c:formatCode>
                <c:ptCount val="6"/>
                <c:pt idx="0">
                  <c:v>0.878571428571429</c:v>
                </c:pt>
                <c:pt idx="1">
                  <c:v>0.914285714285714</c:v>
                </c:pt>
                <c:pt idx="2">
                  <c:v>0.897142857142857</c:v>
                </c:pt>
                <c:pt idx="3">
                  <c:v>0.907142857142857</c:v>
                </c:pt>
                <c:pt idx="4">
                  <c:v>0.868571428571429</c:v>
                </c:pt>
                <c:pt idx="5">
                  <c:v>0.887142857142857</c:v>
                </c:pt>
              </c:numCache>
            </c:numRef>
          </c:val>
        </c:ser>
        <c:gapWidth val="150"/>
        <c:overlap val="0"/>
        <c:axId val="58163280"/>
        <c:axId val="85428226"/>
      </c:barChart>
      <c:catAx>
        <c:axId val="5816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28226"/>
        <c:crosses val="autoZero"/>
        <c:auto val="1"/>
        <c:lblAlgn val="ctr"/>
        <c:lblOffset val="100"/>
        <c:noMultiLvlLbl val="0"/>
      </c:catAx>
      <c:valAx>
        <c:axId val="85428226"/>
        <c:scaling>
          <c:orientation val="minMax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632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Variance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Summary!E14</c:f>
              <c:strCache>
                <c:ptCount val="1"/>
                <c:pt idx="0">
                  <c:v>Variance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Summary!$E$15:$E$26</c:f>
              <c:numCache>
                <c:formatCode>0.0%;[RED]\-0.0%</c:formatCode>
                <c:ptCount val="12"/>
                <c:pt idx="0">
                  <c:v>-0.140961416824794</c:v>
                </c:pt>
                <c:pt idx="1">
                  <c:v>-0.143238456672992</c:v>
                </c:pt>
                <c:pt idx="2">
                  <c:v>-0.145504807692308</c:v>
                </c:pt>
                <c:pt idx="3">
                  <c:v>-0.144927884615385</c:v>
                </c:pt>
                <c:pt idx="4">
                  <c:v>-0.155712603062426</c:v>
                </c:pt>
                <c:pt idx="5">
                  <c:v>-0.141516919486581</c:v>
                </c:pt>
                <c:pt idx="6">
                  <c:v>-0.124483173076923</c:v>
                </c:pt>
                <c:pt idx="7">
                  <c:v>-0.122235576923077</c:v>
                </c:pt>
                <c:pt idx="8">
                  <c:v>-0.124098454493417</c:v>
                </c:pt>
                <c:pt idx="9">
                  <c:v>-0.143165627782725</c:v>
                </c:pt>
                <c:pt idx="10">
                  <c:v>-0.135531775496833</c:v>
                </c:pt>
                <c:pt idx="11">
                  <c:v>-0.129828739934218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25765"/>
        <c:axId val="57622421"/>
      </c:lineChart>
      <c:catAx>
        <c:axId val="68225765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22421"/>
        <c:crosses val="autoZero"/>
        <c:auto val="1"/>
        <c:lblAlgn val="ctr"/>
        <c:lblOffset val="100"/>
        <c:noMultiLvlLbl val="0"/>
      </c:catAx>
      <c:valAx>
        <c:axId val="57622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257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19</xdr:col>
      <xdr:colOff>507600</xdr:colOff>
      <xdr:row>15</xdr:row>
      <xdr:rowOff>70560</xdr:rowOff>
    </xdr:to>
    <xdr:graphicFrame>
      <xdr:nvGraphicFramePr>
        <xdr:cNvPr id="0" name="Chart 1"/>
        <xdr:cNvGraphicFramePr/>
      </xdr:nvGraphicFramePr>
      <xdr:xfrm>
        <a:off x="1062036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10080</xdr:rowOff>
    </xdr:from>
    <xdr:to>
      <xdr:col>19</xdr:col>
      <xdr:colOff>507600</xdr:colOff>
      <xdr:row>35</xdr:row>
      <xdr:rowOff>32400</xdr:rowOff>
    </xdr:to>
    <xdr:graphicFrame>
      <xdr:nvGraphicFramePr>
        <xdr:cNvPr id="1" name="Chart 2"/>
        <xdr:cNvGraphicFramePr/>
      </xdr:nvGraphicFramePr>
      <xdr:xfrm>
        <a:off x="10620360" y="43434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pacityData" displayName="CapacityData" ref="A1:K505" headerRowCount="1" totalsRowCount="0" totalsRowShown="0">
  <autoFilter ref="A1:K505"/>
  <tableColumns count="11">
    <tableColumn id="1" name="Month"/>
    <tableColumn id="2" name="Facility ID"/>
    <tableColumn id="3" name="Region"/>
    <tableColumn id="4" name="Planned Capacity"/>
    <tableColumn id="5" name="Actual Output"/>
    <tableColumn id="6" name="Variance"/>
    <tableColumn id="7" name="Variance %"/>
    <tableColumn id="8" name="Utilisation"/>
    <tableColumn id="9" name="Target Util."/>
    <tableColumn id="10" name="Gap vs Target"/>
    <tableColumn id="11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4" customFormat="false" ht="42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</row>
    <row r="5" customFormat="false" ht="15" hidden="false" customHeight="false" outlineLevel="0" collapsed="false">
      <c r="A5" s="6" t="s">
        <v>28</v>
      </c>
      <c r="B5" s="7" t="n">
        <f aca="false">SUMIFS(Data!$D$2:$D$505,Data!$C$2:$C$505,$A5)</f>
        <v>194030</v>
      </c>
      <c r="C5" s="7" t="n">
        <f aca="false">SUMIFS(Data!$E$2:$E$505,Data!$C$2:$C$505,$A5)</f>
        <v>169796</v>
      </c>
      <c r="D5" s="7" t="n">
        <f aca="false">C5-B5</f>
        <v>-24234</v>
      </c>
      <c r="E5" s="8" t="n">
        <f aca="false">IF(B5=0,0,D5/B5)</f>
        <v>-0.12489821161676</v>
      </c>
      <c r="F5" s="8" t="n">
        <f aca="false">IF(B5=0,0,C5/B5)</f>
        <v>0.87510178838324</v>
      </c>
      <c r="G5" s="8" t="n">
        <f aca="false">AVERAGEIFS(Data!$I$2:$I$505,Data!$C$2:$C$505,$A5)</f>
        <v>0.878571428571429</v>
      </c>
      <c r="H5" s="8" t="n">
        <f aca="false">F5-G5</f>
        <v>-0.00346964018818885</v>
      </c>
      <c r="I5" s="7" t="n">
        <f aca="false">COUNTIFS(Data!$C$2:$C$505,$A5,Data!$K$2:$K$505,"Under")</f>
        <v>14</v>
      </c>
      <c r="J5" s="8" t="n">
        <f aca="false">IF(COUNTIFS(Data!$C$2:$C$505,$A5)=0,0,I5/COUNTIFS(Data!$C$2:$C$505,$A5))</f>
        <v>0.166666666666667</v>
      </c>
    </row>
    <row r="6" customFormat="false" ht="15" hidden="false" customHeight="false" outlineLevel="0" collapsed="false">
      <c r="A6" s="6" t="s">
        <v>29</v>
      </c>
      <c r="B6" s="7" t="n">
        <f aca="false">SUMIFS(Data!$D$2:$D$505,Data!$C$2:$C$505,$A6)</f>
        <v>182980</v>
      </c>
      <c r="C6" s="7" t="n">
        <f aca="false">SUMIFS(Data!$E$2:$E$505,Data!$C$2:$C$505,$A6)</f>
        <v>149990</v>
      </c>
      <c r="D6" s="7" t="n">
        <f aca="false">C6-B6</f>
        <v>-32990</v>
      </c>
      <c r="E6" s="8" t="n">
        <f aca="false">IF(B6=0,0,D6/B6)</f>
        <v>-0.180292928188873</v>
      </c>
      <c r="F6" s="8" t="n">
        <f aca="false">IF(B6=0,0,C6/B6)</f>
        <v>0.819707071811127</v>
      </c>
      <c r="G6" s="8" t="n">
        <f aca="false">AVERAGEIFS(Data!$I$2:$I$505,Data!$C$2:$C$505,$A6)</f>
        <v>0.914285714285714</v>
      </c>
      <c r="H6" s="8" t="n">
        <f aca="false">F6-G6</f>
        <v>-0.0945786424745874</v>
      </c>
      <c r="I6" s="7" t="n">
        <f aca="false">COUNTIFS(Data!$C$2:$C$505,$A6,Data!$K$2:$K$505,"Under")</f>
        <v>68</v>
      </c>
      <c r="J6" s="8" t="n">
        <f aca="false">IF(COUNTIFS(Data!$C$2:$C$505,$A6)=0,0,I6/COUNTIFS(Data!$C$2:$C$505,$A6))</f>
        <v>0.80952380952381</v>
      </c>
    </row>
    <row r="7" customFormat="false" ht="15" hidden="false" customHeight="false" outlineLevel="0" collapsed="false">
      <c r="A7" s="6" t="s">
        <v>30</v>
      </c>
      <c r="B7" s="7" t="n">
        <f aca="false">SUMIFS(Data!$D$2:$D$505,Data!$C$2:$C$505,$A7)</f>
        <v>179340</v>
      </c>
      <c r="C7" s="7" t="n">
        <f aca="false">SUMIFS(Data!$E$2:$E$505,Data!$C$2:$C$505,$A7)</f>
        <v>156001</v>
      </c>
      <c r="D7" s="7" t="n">
        <f aca="false">C7-B7</f>
        <v>-23339</v>
      </c>
      <c r="E7" s="8" t="n">
        <f aca="false">IF(B7=0,0,D7/B7)</f>
        <v>-0.130138284822126</v>
      </c>
      <c r="F7" s="8" t="n">
        <f aca="false">IF(B7=0,0,C7/B7)</f>
        <v>0.869861715177875</v>
      </c>
      <c r="G7" s="8" t="n">
        <f aca="false">AVERAGEIFS(Data!$I$2:$I$505,Data!$C$2:$C$505,$A7)</f>
        <v>0.897142857142857</v>
      </c>
      <c r="H7" s="8" t="n">
        <f aca="false">F7-G7</f>
        <v>-0.0272811419649827</v>
      </c>
      <c r="I7" s="7" t="n">
        <f aca="false">COUNTIFS(Data!$C$2:$C$505,$A7,Data!$K$2:$K$505,"Under")</f>
        <v>28</v>
      </c>
      <c r="J7" s="8" t="n">
        <f aca="false">IF(COUNTIFS(Data!$C$2:$C$505,$A7)=0,0,I7/COUNTIFS(Data!$C$2:$C$505,$A7))</f>
        <v>0.333333333333333</v>
      </c>
    </row>
    <row r="8" customFormat="false" ht="15" hidden="false" customHeight="false" outlineLevel="0" collapsed="false">
      <c r="A8" s="6" t="s">
        <v>31</v>
      </c>
      <c r="B8" s="7" t="n">
        <f aca="false">SUMIFS(Data!$D$2:$D$505,Data!$C$2:$C$505,$A8)</f>
        <v>165260</v>
      </c>
      <c r="C8" s="7" t="n">
        <f aca="false">SUMIFS(Data!$E$2:$E$505,Data!$C$2:$C$505,$A8)</f>
        <v>156929</v>
      </c>
      <c r="D8" s="7" t="n">
        <f aca="false">C8-B8</f>
        <v>-8331</v>
      </c>
      <c r="E8" s="8" t="n">
        <f aca="false">IF(B8=0,0,D8/B8)</f>
        <v>-0.050411472830691</v>
      </c>
      <c r="F8" s="8" t="n">
        <f aca="false">IF(B8=0,0,C8/B8)</f>
        <v>0.949588527169309</v>
      </c>
      <c r="G8" s="8" t="n">
        <f aca="false">AVERAGEIFS(Data!$I$2:$I$505,Data!$C$2:$C$505,$A8)</f>
        <v>0.907142857142857</v>
      </c>
      <c r="H8" s="8" t="n">
        <f aca="false">F8-G8</f>
        <v>0.0424456700264518</v>
      </c>
      <c r="I8" s="7" t="n">
        <f aca="false">COUNTIFS(Data!$C$2:$C$505,$A8,Data!$K$2:$K$505,"Under")</f>
        <v>1</v>
      </c>
      <c r="J8" s="8" t="n">
        <f aca="false">IF(COUNTIFS(Data!$C$2:$C$505,$A8)=0,0,I8/COUNTIFS(Data!$C$2:$C$505,$A8))</f>
        <v>0.0119047619047619</v>
      </c>
    </row>
    <row r="9" customFormat="false" ht="15" hidden="false" customHeight="false" outlineLevel="0" collapsed="false">
      <c r="A9" s="6" t="s">
        <v>32</v>
      </c>
      <c r="B9" s="7" t="n">
        <f aca="false">SUMIFS(Data!$D$2:$D$505,Data!$C$2:$C$505,$A9)</f>
        <v>169520</v>
      </c>
      <c r="C9" s="7" t="n">
        <f aca="false">SUMIFS(Data!$E$2:$E$505,Data!$C$2:$C$505,$A9)</f>
        <v>140639</v>
      </c>
      <c r="D9" s="7" t="n">
        <f aca="false">C9-B9</f>
        <v>-28881</v>
      </c>
      <c r="E9" s="8" t="n">
        <f aca="false">IF(B9=0,0,D9/B9)</f>
        <v>-0.170369277961303</v>
      </c>
      <c r="F9" s="8" t="n">
        <f aca="false">IF(B9=0,0,C9/B9)</f>
        <v>0.829630722038698</v>
      </c>
      <c r="G9" s="8" t="n">
        <f aca="false">AVERAGEIFS(Data!$I$2:$I$505,Data!$C$2:$C$505,$A9)</f>
        <v>0.868571428571429</v>
      </c>
      <c r="H9" s="8" t="n">
        <f aca="false">F9-G9</f>
        <v>-0.0389407065327311</v>
      </c>
      <c r="I9" s="7" t="n">
        <f aca="false">COUNTIFS(Data!$C$2:$C$505,$A9,Data!$K$2:$K$505,"Under")</f>
        <v>32</v>
      </c>
      <c r="J9" s="8" t="n">
        <f aca="false">IF(COUNTIFS(Data!$C$2:$C$505,$A9)=0,0,I9/COUNTIFS(Data!$C$2:$C$505,$A9))</f>
        <v>0.380952380952381</v>
      </c>
    </row>
    <row r="10" customFormat="false" ht="15" hidden="false" customHeight="false" outlineLevel="0" collapsed="false">
      <c r="A10" s="6" t="s">
        <v>33</v>
      </c>
      <c r="B10" s="7" t="n">
        <f aca="false">SUMIFS(Data!$D$2:$D$505,Data!$C$2:$C$505,$A10)</f>
        <v>127310</v>
      </c>
      <c r="C10" s="7" t="n">
        <f aca="false">SUMIFS(Data!$E$2:$E$505,Data!$C$2:$C$505,$A10)</f>
        <v>105019</v>
      </c>
      <c r="D10" s="7" t="n">
        <f aca="false">C10-B10</f>
        <v>-22291</v>
      </c>
      <c r="E10" s="8" t="n">
        <f aca="false">IF(B10=0,0,D10/B10)</f>
        <v>-0.175092294399497</v>
      </c>
      <c r="F10" s="8" t="n">
        <f aca="false">IF(B10=0,0,C10/B10)</f>
        <v>0.824907705600503</v>
      </c>
      <c r="G10" s="8" t="n">
        <f aca="false">AVERAGEIFS(Data!$I$2:$I$505,Data!$C$2:$C$505,$A10)</f>
        <v>0.887142857142857</v>
      </c>
      <c r="H10" s="8" t="n">
        <f aca="false">F10-G10</f>
        <v>-0.0622351515423544</v>
      </c>
      <c r="I10" s="7" t="n">
        <f aca="false">COUNTIFS(Data!$C$2:$C$505,$A10,Data!$K$2:$K$505,"Under")</f>
        <v>52</v>
      </c>
      <c r="J10" s="8" t="n">
        <f aca="false">IF(COUNTIFS(Data!$C$2:$C$505,$A10)=0,0,I10/COUNTIFS(Data!$C$2:$C$505,$A10))</f>
        <v>0.619047619047619</v>
      </c>
    </row>
    <row r="11" customFormat="false" ht="15" hidden="false" customHeight="false" outlineLevel="0" collapsed="false">
      <c r="A11" s="9" t="s">
        <v>34</v>
      </c>
      <c r="B11" s="10" t="n">
        <f aca="false">SUM(B5:B10)</f>
        <v>1018440</v>
      </c>
      <c r="C11" s="10" t="n">
        <f aca="false">SUM(C5:C10)</f>
        <v>878374</v>
      </c>
      <c r="D11" s="10" t="n">
        <f aca="false">SUM(D5:D10)</f>
        <v>-140066</v>
      </c>
      <c r="E11" s="11" t="n">
        <f aca="false">IF(B11=0,0,D11/B11)</f>
        <v>-0.137529947763246</v>
      </c>
      <c r="F11" s="11" t="n">
        <f aca="false">IF(B11=0,0,C11/B11)</f>
        <v>0.862470052236754</v>
      </c>
      <c r="G11" s="11" t="n">
        <f aca="false">AVERAGE(Data!$I$2:$I$505)</f>
        <v>0.892142857142857</v>
      </c>
      <c r="H11" s="11" t="n">
        <f aca="false">F11-G11</f>
        <v>-0.0296728049061029</v>
      </c>
      <c r="I11" s="10" t="n">
        <f aca="false">SUM(I5:I10)</f>
        <v>195</v>
      </c>
      <c r="J11" s="11" t="n">
        <f aca="false">I11/COUNTA(Data!$B$2:$B$505)</f>
        <v>0.386904761904762</v>
      </c>
    </row>
    <row r="13" customFormat="false" ht="15" hidden="false" customHeight="false" outlineLevel="0" collapsed="false">
      <c r="A13" s="3" t="s">
        <v>35</v>
      </c>
    </row>
    <row r="14" customFormat="false" ht="26.85" hidden="false" customHeight="false" outlineLevel="0" collapsed="false">
      <c r="A14" s="5" t="s">
        <v>36</v>
      </c>
      <c r="B14" s="5" t="s">
        <v>19</v>
      </c>
      <c r="C14" s="5" t="s">
        <v>20</v>
      </c>
      <c r="D14" s="5" t="s">
        <v>21</v>
      </c>
      <c r="E14" s="5" t="s">
        <v>22</v>
      </c>
      <c r="F14" s="5" t="s">
        <v>23</v>
      </c>
    </row>
    <row r="15" customFormat="false" ht="15" hidden="false" customHeight="false" outlineLevel="0" collapsed="false">
      <c r="A15" s="12" t="n">
        <v>46023</v>
      </c>
      <c r="B15" s="7" t="n">
        <f aca="false">SUMIFS(Data!$D$2:$D$505,Data!$A$2:$A$505,$A15)</f>
        <v>79050</v>
      </c>
      <c r="C15" s="7" t="n">
        <f aca="false">SUMIFS(Data!$E$2:$E$505,Data!$A$2:$A$505,$A15)</f>
        <v>67907</v>
      </c>
      <c r="D15" s="7" t="n">
        <f aca="false">C15-B15</f>
        <v>-11143</v>
      </c>
      <c r="E15" s="8" t="n">
        <f aca="false">IF(B15=0,0,D15/B15)</f>
        <v>-0.140961416824794</v>
      </c>
      <c r="F15" s="8" t="n">
        <f aca="false">IF(B15=0,0,C15/B15)</f>
        <v>0.859038583175206</v>
      </c>
    </row>
    <row r="16" customFormat="false" ht="15" hidden="false" customHeight="false" outlineLevel="0" collapsed="false">
      <c r="A16" s="12" t="n">
        <v>46054</v>
      </c>
      <c r="B16" s="7" t="n">
        <f aca="false">SUMIFS(Data!$D$2:$D$505,Data!$A$2:$A$505,$A16)</f>
        <v>79050</v>
      </c>
      <c r="C16" s="7" t="n">
        <f aca="false">SUMIFS(Data!$E$2:$E$505,Data!$A$2:$A$505,$A16)</f>
        <v>67727</v>
      </c>
      <c r="D16" s="7" t="n">
        <f aca="false">C16-B16</f>
        <v>-11323</v>
      </c>
      <c r="E16" s="8" t="n">
        <f aca="false">IF(B16=0,0,D16/B16)</f>
        <v>-0.143238456672992</v>
      </c>
      <c r="F16" s="8" t="n">
        <f aca="false">IF(B16=0,0,C16/B16)</f>
        <v>0.856761543327008</v>
      </c>
    </row>
    <row r="17" customFormat="false" ht="15" hidden="false" customHeight="false" outlineLevel="0" collapsed="false">
      <c r="A17" s="12" t="n">
        <v>46082</v>
      </c>
      <c r="B17" s="7" t="n">
        <f aca="false">SUMIFS(Data!$D$2:$D$505,Data!$A$2:$A$505,$A17)</f>
        <v>83200</v>
      </c>
      <c r="C17" s="7" t="n">
        <f aca="false">SUMIFS(Data!$E$2:$E$505,Data!$A$2:$A$505,$A17)</f>
        <v>71094</v>
      </c>
      <c r="D17" s="7" t="n">
        <f aca="false">C17-B17</f>
        <v>-12106</v>
      </c>
      <c r="E17" s="8" t="n">
        <f aca="false">IF(B17=0,0,D17/B17)</f>
        <v>-0.145504807692308</v>
      </c>
      <c r="F17" s="8" t="n">
        <f aca="false">IF(B17=0,0,C17/B17)</f>
        <v>0.854495192307692</v>
      </c>
    </row>
    <row r="18" customFormat="false" ht="15" hidden="false" customHeight="false" outlineLevel="0" collapsed="false">
      <c r="A18" s="12" t="n">
        <v>46113</v>
      </c>
      <c r="B18" s="7" t="n">
        <f aca="false">SUMIFS(Data!$D$2:$D$505,Data!$A$2:$A$505,$A18)</f>
        <v>83200</v>
      </c>
      <c r="C18" s="7" t="n">
        <f aca="false">SUMIFS(Data!$E$2:$E$505,Data!$A$2:$A$505,$A18)</f>
        <v>71142</v>
      </c>
      <c r="D18" s="7" t="n">
        <f aca="false">C18-B18</f>
        <v>-12058</v>
      </c>
      <c r="E18" s="8" t="n">
        <f aca="false">IF(B18=0,0,D18/B18)</f>
        <v>-0.144927884615385</v>
      </c>
      <c r="F18" s="8" t="n">
        <f aca="false">IF(B18=0,0,C18/B18)</f>
        <v>0.855072115384615</v>
      </c>
    </row>
    <row r="19" customFormat="false" ht="15" hidden="false" customHeight="false" outlineLevel="0" collapsed="false">
      <c r="A19" s="12" t="n">
        <v>46143</v>
      </c>
      <c r="B19" s="7" t="n">
        <f aca="false">SUMIFS(Data!$D$2:$D$505,Data!$A$2:$A$505,$A19)</f>
        <v>84900</v>
      </c>
      <c r="C19" s="7" t="n">
        <f aca="false">SUMIFS(Data!$E$2:$E$505,Data!$A$2:$A$505,$A19)</f>
        <v>71680</v>
      </c>
      <c r="D19" s="7" t="n">
        <f aca="false">C19-B19</f>
        <v>-13220</v>
      </c>
      <c r="E19" s="8" t="n">
        <f aca="false">IF(B19=0,0,D19/B19)</f>
        <v>-0.155712603062426</v>
      </c>
      <c r="F19" s="8" t="n">
        <f aca="false">IF(B19=0,0,C19/B19)</f>
        <v>0.844287396937574</v>
      </c>
    </row>
    <row r="20" customFormat="false" ht="15" hidden="false" customHeight="false" outlineLevel="0" collapsed="false">
      <c r="A20" s="12" t="n">
        <v>46174</v>
      </c>
      <c r="B20" s="7" t="n">
        <f aca="false">SUMIFS(Data!$D$2:$D$505,Data!$A$2:$A$505,$A20)</f>
        <v>85700</v>
      </c>
      <c r="C20" s="7" t="n">
        <f aca="false">SUMIFS(Data!$E$2:$E$505,Data!$A$2:$A$505,$A20)</f>
        <v>73572</v>
      </c>
      <c r="D20" s="7" t="n">
        <f aca="false">C20-B20</f>
        <v>-12128</v>
      </c>
      <c r="E20" s="8" t="n">
        <f aca="false">IF(B20=0,0,D20/B20)</f>
        <v>-0.141516919486581</v>
      </c>
      <c r="F20" s="8" t="n">
        <f aca="false">IF(B20=0,0,C20/B20)</f>
        <v>0.858483080513419</v>
      </c>
    </row>
    <row r="21" customFormat="false" ht="15" hidden="false" customHeight="false" outlineLevel="0" collapsed="false">
      <c r="A21" s="12" t="n">
        <v>46204</v>
      </c>
      <c r="B21" s="7" t="n">
        <f aca="false">SUMIFS(Data!$D$2:$D$505,Data!$A$2:$A$505,$A21)</f>
        <v>83200</v>
      </c>
      <c r="C21" s="7" t="n">
        <f aca="false">SUMIFS(Data!$E$2:$E$505,Data!$A$2:$A$505,$A21)</f>
        <v>72843</v>
      </c>
      <c r="D21" s="7" t="n">
        <f aca="false">C21-B21</f>
        <v>-10357</v>
      </c>
      <c r="E21" s="8" t="n">
        <f aca="false">IF(B21=0,0,D21/B21)</f>
        <v>-0.124483173076923</v>
      </c>
      <c r="F21" s="8" t="n">
        <f aca="false">IF(B21=0,0,C21/B21)</f>
        <v>0.875516826923077</v>
      </c>
    </row>
    <row r="22" customFormat="false" ht="15" hidden="false" customHeight="false" outlineLevel="0" collapsed="false">
      <c r="A22" s="12" t="n">
        <v>46235</v>
      </c>
      <c r="B22" s="7" t="n">
        <f aca="false">SUMIFS(Data!$D$2:$D$505,Data!$A$2:$A$505,$A22)</f>
        <v>83200</v>
      </c>
      <c r="C22" s="7" t="n">
        <f aca="false">SUMIFS(Data!$E$2:$E$505,Data!$A$2:$A$505,$A22)</f>
        <v>73030</v>
      </c>
      <c r="D22" s="7" t="n">
        <f aca="false">C22-B22</f>
        <v>-10170</v>
      </c>
      <c r="E22" s="8" t="n">
        <f aca="false">IF(B22=0,0,D22/B22)</f>
        <v>-0.122235576923077</v>
      </c>
      <c r="F22" s="8" t="n">
        <f aca="false">IF(B22=0,0,C22/B22)</f>
        <v>0.877764423076923</v>
      </c>
    </row>
    <row r="23" customFormat="false" ht="15" hidden="false" customHeight="false" outlineLevel="0" collapsed="false">
      <c r="A23" s="12" t="n">
        <v>46266</v>
      </c>
      <c r="B23" s="7" t="n">
        <f aca="false">SUMIFS(Data!$D$2:$D$505,Data!$A$2:$A$505,$A23)</f>
        <v>87350</v>
      </c>
      <c r="C23" s="7" t="n">
        <f aca="false">SUMIFS(Data!$E$2:$E$505,Data!$A$2:$A$505,$A23)</f>
        <v>76510</v>
      </c>
      <c r="D23" s="7" t="n">
        <f aca="false">C23-B23</f>
        <v>-10840</v>
      </c>
      <c r="E23" s="8" t="n">
        <f aca="false">IF(B23=0,0,D23/B23)</f>
        <v>-0.124098454493417</v>
      </c>
      <c r="F23" s="8" t="n">
        <f aca="false">IF(B23=0,0,C23/B23)</f>
        <v>0.875901545506583</v>
      </c>
    </row>
    <row r="24" customFormat="false" ht="15" hidden="false" customHeight="false" outlineLevel="0" collapsed="false">
      <c r="A24" s="12" t="n">
        <v>46296</v>
      </c>
      <c r="B24" s="7" t="n">
        <f aca="false">SUMIFS(Data!$D$2:$D$505,Data!$A$2:$A$505,$A24)</f>
        <v>89840</v>
      </c>
      <c r="C24" s="7" t="n">
        <f aca="false">SUMIFS(Data!$E$2:$E$505,Data!$A$2:$A$505,$A24)</f>
        <v>76978</v>
      </c>
      <c r="D24" s="7" t="n">
        <f aca="false">C24-B24</f>
        <v>-12862</v>
      </c>
      <c r="E24" s="8" t="n">
        <f aca="false">IF(B24=0,0,D24/B24)</f>
        <v>-0.143165627782725</v>
      </c>
      <c r="F24" s="8" t="n">
        <f aca="false">IF(B24=0,0,C24/B24)</f>
        <v>0.856834372217275</v>
      </c>
    </row>
    <row r="25" customFormat="false" ht="15" hidden="false" customHeight="false" outlineLevel="0" collapsed="false">
      <c r="A25" s="12" t="n">
        <v>46327</v>
      </c>
      <c r="B25" s="7" t="n">
        <f aca="false">SUMIFS(Data!$D$2:$D$505,Data!$A$2:$A$505,$A25)</f>
        <v>91580</v>
      </c>
      <c r="C25" s="7" t="n">
        <f aca="false">SUMIFS(Data!$E$2:$E$505,Data!$A$2:$A$505,$A25)</f>
        <v>79168</v>
      </c>
      <c r="D25" s="7" t="n">
        <f aca="false">C25-B25</f>
        <v>-12412</v>
      </c>
      <c r="E25" s="8" t="n">
        <f aca="false">IF(B25=0,0,D25/B25)</f>
        <v>-0.135531775496833</v>
      </c>
      <c r="F25" s="8" t="n">
        <f aca="false">IF(B25=0,0,C25/B25)</f>
        <v>0.864468224503167</v>
      </c>
    </row>
    <row r="26" customFormat="false" ht="15" hidden="false" customHeight="false" outlineLevel="0" collapsed="false">
      <c r="A26" s="12" t="n">
        <v>46357</v>
      </c>
      <c r="B26" s="7" t="n">
        <f aca="false">SUMIFS(Data!$D$2:$D$505,Data!$A$2:$A$505,$A26)</f>
        <v>88170</v>
      </c>
      <c r="C26" s="7" t="n">
        <f aca="false">SUMIFS(Data!$E$2:$E$505,Data!$A$2:$A$505,$A26)</f>
        <v>76723</v>
      </c>
      <c r="D26" s="7" t="n">
        <f aca="false">C26-B26</f>
        <v>-11447</v>
      </c>
      <c r="E26" s="8" t="n">
        <f aca="false">IF(B26=0,0,D26/B26)</f>
        <v>-0.129828739934218</v>
      </c>
      <c r="F26" s="8" t="n">
        <f aca="false">IF(B26=0,0,C26/B26)</f>
        <v>0.870171260065782</v>
      </c>
    </row>
  </sheetData>
  <conditionalFormatting sqref="E5:E10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H5:H10">
    <cfRule type="cellIs" priority="3" operator="lessThan" aboveAverage="0" equalAverage="0" bottom="0" percent="0" rank="0" text="" dxfId="0">
      <formula>-Targets!$F$2</formula>
    </cfRule>
  </conditionalFormatting>
  <conditionalFormatting sqref="F5:F10">
    <cfRule type="dataBar" priority="4">
      <dataBar showValue="1" minLength="10" maxLength="90">
        <cfvo type="num" val="0"/>
        <cfvo type="num" val="1.2"/>
        <color rgb="FF5B9BD5"/>
      </dataBar>
      <extLst>
        <ext xmlns:x14="http://schemas.microsoft.com/office/spreadsheetml/2009/9/main" uri="{B025F937-C7B1-47D3-B67F-A62EFF666E3E}">
          <x14:id>{23C6FC34-51C1-4BAB-A2F1-74D23175E023}</x14:id>
        </ext>
      </extLst>
    </cfRule>
  </conditionalFormatting>
  <conditionalFormatting sqref="E15:E26">
    <cfRule type="colorScale" priority="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6FC34-51C1-4BAB-A2F1-74D23175E023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5B9BD5"/>
              <x14:axisColor rgb="FF000000"/>
            </x14:dataBar>
          </x14:cfRule>
          <xm:sqref>F5:F10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26.85" hidden="false" customHeight="false" outlineLevel="0" collapsed="false">
      <c r="A1" s="5" t="s">
        <v>37</v>
      </c>
      <c r="B1" s="5" t="s">
        <v>18</v>
      </c>
      <c r="C1" s="5" t="s">
        <v>38</v>
      </c>
      <c r="D1" s="5" t="s">
        <v>39</v>
      </c>
      <c r="F1" s="3" t="s">
        <v>40</v>
      </c>
    </row>
    <row r="2" customFormat="false" ht="15" hidden="false" customHeight="false" outlineLevel="0" collapsed="false">
      <c r="A2" s="13" t="s">
        <v>41</v>
      </c>
      <c r="B2" s="13" t="s">
        <v>28</v>
      </c>
      <c r="C2" s="14" t="n">
        <v>0.88</v>
      </c>
      <c r="D2" s="15" t="n">
        <v>2650</v>
      </c>
      <c r="F2" s="16" t="n">
        <v>0.05</v>
      </c>
    </row>
    <row r="3" customFormat="false" ht="15" hidden="false" customHeight="false" outlineLevel="0" collapsed="false">
      <c r="A3" s="13" t="s">
        <v>42</v>
      </c>
      <c r="B3" s="13" t="s">
        <v>28</v>
      </c>
      <c r="C3" s="14" t="n">
        <v>0.88</v>
      </c>
      <c r="D3" s="15" t="n">
        <v>2250</v>
      </c>
      <c r="F3" s="4" t="s">
        <v>43</v>
      </c>
    </row>
    <row r="4" customFormat="false" ht="15" hidden="false" customHeight="false" outlineLevel="0" collapsed="false">
      <c r="A4" s="13" t="s">
        <v>44</v>
      </c>
      <c r="B4" s="13" t="s">
        <v>28</v>
      </c>
      <c r="C4" s="14" t="n">
        <v>0.88</v>
      </c>
      <c r="D4" s="15" t="n">
        <v>2500</v>
      </c>
    </row>
    <row r="5" customFormat="false" ht="15" hidden="false" customHeight="false" outlineLevel="0" collapsed="false">
      <c r="A5" s="13" t="s">
        <v>45</v>
      </c>
      <c r="B5" s="13" t="s">
        <v>28</v>
      </c>
      <c r="C5" s="14" t="n">
        <v>0.88</v>
      </c>
      <c r="D5" s="15" t="n">
        <v>1100</v>
      </c>
    </row>
    <row r="6" customFormat="false" ht="15" hidden="false" customHeight="false" outlineLevel="0" collapsed="false">
      <c r="A6" s="13" t="s">
        <v>46</v>
      </c>
      <c r="B6" s="13" t="s">
        <v>28</v>
      </c>
      <c r="C6" s="14" t="n">
        <v>0.88</v>
      </c>
      <c r="D6" s="15" t="n">
        <v>2350</v>
      </c>
    </row>
    <row r="7" customFormat="false" ht="15" hidden="false" customHeight="false" outlineLevel="0" collapsed="false">
      <c r="A7" s="13" t="s">
        <v>47</v>
      </c>
      <c r="B7" s="13" t="s">
        <v>28</v>
      </c>
      <c r="C7" s="14" t="n">
        <v>0.9</v>
      </c>
      <c r="D7" s="15" t="n">
        <v>3150</v>
      </c>
    </row>
    <row r="8" customFormat="false" ht="15" hidden="false" customHeight="false" outlineLevel="0" collapsed="false">
      <c r="A8" s="13" t="s">
        <v>48</v>
      </c>
      <c r="B8" s="13" t="s">
        <v>28</v>
      </c>
      <c r="C8" s="14" t="n">
        <v>0.85</v>
      </c>
      <c r="D8" s="15" t="n">
        <v>1850</v>
      </c>
    </row>
    <row r="9" customFormat="false" ht="15" hidden="false" customHeight="false" outlineLevel="0" collapsed="false">
      <c r="A9" s="13" t="s">
        <v>49</v>
      </c>
      <c r="B9" s="13" t="s">
        <v>29</v>
      </c>
      <c r="C9" s="14" t="n">
        <v>0.92</v>
      </c>
      <c r="D9" s="15" t="n">
        <v>1150</v>
      </c>
    </row>
    <row r="10" customFormat="false" ht="15" hidden="false" customHeight="false" outlineLevel="0" collapsed="false">
      <c r="A10" s="13" t="s">
        <v>50</v>
      </c>
      <c r="B10" s="13" t="s">
        <v>29</v>
      </c>
      <c r="C10" s="14" t="n">
        <v>0.9</v>
      </c>
      <c r="D10" s="15" t="n">
        <v>3100</v>
      </c>
    </row>
    <row r="11" customFormat="false" ht="15" hidden="false" customHeight="false" outlineLevel="0" collapsed="false">
      <c r="A11" s="13" t="s">
        <v>51</v>
      </c>
      <c r="B11" s="13" t="s">
        <v>29</v>
      </c>
      <c r="C11" s="14" t="n">
        <v>0.92</v>
      </c>
      <c r="D11" s="15" t="n">
        <v>2450</v>
      </c>
    </row>
    <row r="12" customFormat="false" ht="15" hidden="false" customHeight="false" outlineLevel="0" collapsed="false">
      <c r="A12" s="13" t="s">
        <v>52</v>
      </c>
      <c r="B12" s="13" t="s">
        <v>29</v>
      </c>
      <c r="C12" s="14" t="n">
        <v>0.92</v>
      </c>
      <c r="D12" s="15" t="n">
        <v>1350</v>
      </c>
    </row>
    <row r="13" customFormat="false" ht="15" hidden="false" customHeight="false" outlineLevel="0" collapsed="false">
      <c r="A13" s="13" t="s">
        <v>53</v>
      </c>
      <c r="B13" s="13" t="s">
        <v>29</v>
      </c>
      <c r="C13" s="14" t="n">
        <v>0.92</v>
      </c>
      <c r="D13" s="15" t="n">
        <v>2400</v>
      </c>
    </row>
    <row r="14" customFormat="false" ht="15" hidden="false" customHeight="false" outlineLevel="0" collapsed="false">
      <c r="A14" s="13" t="s">
        <v>54</v>
      </c>
      <c r="B14" s="13" t="s">
        <v>29</v>
      </c>
      <c r="C14" s="14" t="n">
        <v>0.9</v>
      </c>
      <c r="D14" s="15" t="n">
        <v>3150</v>
      </c>
    </row>
    <row r="15" customFormat="false" ht="15" hidden="false" customHeight="false" outlineLevel="0" collapsed="false">
      <c r="A15" s="13" t="s">
        <v>55</v>
      </c>
      <c r="B15" s="13" t="s">
        <v>29</v>
      </c>
      <c r="C15" s="14" t="n">
        <v>0.92</v>
      </c>
      <c r="D15" s="15" t="n">
        <v>1350</v>
      </c>
    </row>
    <row r="16" customFormat="false" ht="15" hidden="false" customHeight="false" outlineLevel="0" collapsed="false">
      <c r="A16" s="13" t="s">
        <v>56</v>
      </c>
      <c r="B16" s="13" t="s">
        <v>30</v>
      </c>
      <c r="C16" s="14" t="n">
        <v>0.92</v>
      </c>
      <c r="D16" s="15" t="n">
        <v>2850</v>
      </c>
    </row>
    <row r="17" customFormat="false" ht="15" hidden="false" customHeight="false" outlineLevel="0" collapsed="false">
      <c r="A17" s="13" t="s">
        <v>57</v>
      </c>
      <c r="B17" s="13" t="s">
        <v>30</v>
      </c>
      <c r="C17" s="14" t="n">
        <v>0.88</v>
      </c>
      <c r="D17" s="15" t="n">
        <v>2500</v>
      </c>
    </row>
    <row r="18" customFormat="false" ht="15" hidden="false" customHeight="false" outlineLevel="0" collapsed="false">
      <c r="A18" s="13" t="s">
        <v>58</v>
      </c>
      <c r="B18" s="13" t="s">
        <v>30</v>
      </c>
      <c r="C18" s="14" t="n">
        <v>0.92</v>
      </c>
      <c r="D18" s="15" t="n">
        <v>1400</v>
      </c>
    </row>
    <row r="19" customFormat="false" ht="15" hidden="false" customHeight="false" outlineLevel="0" collapsed="false">
      <c r="A19" s="13" t="s">
        <v>59</v>
      </c>
      <c r="B19" s="13" t="s">
        <v>30</v>
      </c>
      <c r="C19" s="14" t="n">
        <v>0.88</v>
      </c>
      <c r="D19" s="15" t="n">
        <v>1300</v>
      </c>
    </row>
    <row r="20" customFormat="false" ht="15" hidden="false" customHeight="false" outlineLevel="0" collapsed="false">
      <c r="A20" s="13" t="s">
        <v>60</v>
      </c>
      <c r="B20" s="13" t="s">
        <v>30</v>
      </c>
      <c r="C20" s="14" t="n">
        <v>0.88</v>
      </c>
      <c r="D20" s="15" t="n">
        <v>3050</v>
      </c>
    </row>
    <row r="21" customFormat="false" ht="15" hidden="false" customHeight="false" outlineLevel="0" collapsed="false">
      <c r="A21" s="13" t="s">
        <v>61</v>
      </c>
      <c r="B21" s="13" t="s">
        <v>30</v>
      </c>
      <c r="C21" s="14" t="n">
        <v>0.88</v>
      </c>
      <c r="D21" s="15" t="n">
        <v>1650</v>
      </c>
    </row>
    <row r="22" customFormat="false" ht="15" hidden="false" customHeight="false" outlineLevel="0" collapsed="false">
      <c r="A22" s="13" t="s">
        <v>62</v>
      </c>
      <c r="B22" s="13" t="s">
        <v>30</v>
      </c>
      <c r="C22" s="14" t="n">
        <v>0.92</v>
      </c>
      <c r="D22" s="15" t="n">
        <v>1900</v>
      </c>
    </row>
    <row r="23" customFormat="false" ht="15" hidden="false" customHeight="false" outlineLevel="0" collapsed="false">
      <c r="A23" s="13" t="s">
        <v>63</v>
      </c>
      <c r="B23" s="13" t="s">
        <v>31</v>
      </c>
      <c r="C23" s="14" t="n">
        <v>0.85</v>
      </c>
      <c r="D23" s="15" t="n">
        <v>2400</v>
      </c>
    </row>
    <row r="24" customFormat="false" ht="15" hidden="false" customHeight="false" outlineLevel="0" collapsed="false">
      <c r="A24" s="13" t="s">
        <v>64</v>
      </c>
      <c r="B24" s="13" t="s">
        <v>31</v>
      </c>
      <c r="C24" s="14" t="n">
        <v>0.92</v>
      </c>
      <c r="D24" s="15" t="n">
        <v>1900</v>
      </c>
    </row>
    <row r="25" customFormat="false" ht="15" hidden="false" customHeight="false" outlineLevel="0" collapsed="false">
      <c r="A25" s="13" t="s">
        <v>65</v>
      </c>
      <c r="B25" s="13" t="s">
        <v>31</v>
      </c>
      <c r="C25" s="14" t="n">
        <v>0.92</v>
      </c>
      <c r="D25" s="15" t="n">
        <v>900</v>
      </c>
    </row>
    <row r="26" customFormat="false" ht="15" hidden="false" customHeight="false" outlineLevel="0" collapsed="false">
      <c r="A26" s="13" t="s">
        <v>66</v>
      </c>
      <c r="B26" s="13" t="s">
        <v>31</v>
      </c>
      <c r="C26" s="14" t="n">
        <v>0.92</v>
      </c>
      <c r="D26" s="15" t="n">
        <v>1450</v>
      </c>
    </row>
    <row r="27" customFormat="false" ht="15" hidden="false" customHeight="false" outlineLevel="0" collapsed="false">
      <c r="A27" s="13" t="s">
        <v>67</v>
      </c>
      <c r="B27" s="13" t="s">
        <v>31</v>
      </c>
      <c r="C27" s="14" t="n">
        <v>0.92</v>
      </c>
      <c r="D27" s="15" t="n">
        <v>1950</v>
      </c>
    </row>
    <row r="28" customFormat="false" ht="15" hidden="false" customHeight="false" outlineLevel="0" collapsed="false">
      <c r="A28" s="13" t="s">
        <v>68</v>
      </c>
      <c r="B28" s="13" t="s">
        <v>31</v>
      </c>
      <c r="C28" s="14" t="n">
        <v>0.9</v>
      </c>
      <c r="D28" s="15" t="n">
        <v>2650</v>
      </c>
    </row>
    <row r="29" customFormat="false" ht="15" hidden="false" customHeight="false" outlineLevel="0" collapsed="false">
      <c r="A29" s="13" t="s">
        <v>69</v>
      </c>
      <c r="B29" s="13" t="s">
        <v>31</v>
      </c>
      <c r="C29" s="14" t="n">
        <v>0.92</v>
      </c>
      <c r="D29" s="15" t="n">
        <v>2250</v>
      </c>
    </row>
    <row r="30" customFormat="false" ht="15" hidden="false" customHeight="false" outlineLevel="0" collapsed="false">
      <c r="A30" s="13" t="s">
        <v>70</v>
      </c>
      <c r="B30" s="13" t="s">
        <v>32</v>
      </c>
      <c r="C30" s="14" t="n">
        <v>0.9</v>
      </c>
      <c r="D30" s="15" t="n">
        <v>1850</v>
      </c>
    </row>
    <row r="31" customFormat="false" ht="15" hidden="false" customHeight="false" outlineLevel="0" collapsed="false">
      <c r="A31" s="13" t="s">
        <v>71</v>
      </c>
      <c r="B31" s="13" t="s">
        <v>32</v>
      </c>
      <c r="C31" s="14" t="n">
        <v>0.85</v>
      </c>
      <c r="D31" s="15" t="n">
        <v>1300</v>
      </c>
    </row>
    <row r="32" customFormat="false" ht="15" hidden="false" customHeight="false" outlineLevel="0" collapsed="false">
      <c r="A32" s="13" t="s">
        <v>72</v>
      </c>
      <c r="B32" s="13" t="s">
        <v>32</v>
      </c>
      <c r="C32" s="14" t="n">
        <v>0.85</v>
      </c>
      <c r="D32" s="15" t="n">
        <v>2700</v>
      </c>
    </row>
    <row r="33" customFormat="false" ht="15" hidden="false" customHeight="false" outlineLevel="0" collapsed="false">
      <c r="A33" s="13" t="s">
        <v>73</v>
      </c>
      <c r="B33" s="13" t="s">
        <v>32</v>
      </c>
      <c r="C33" s="14" t="n">
        <v>0.85</v>
      </c>
      <c r="D33" s="15" t="n">
        <v>1300</v>
      </c>
    </row>
    <row r="34" customFormat="false" ht="15" hidden="false" customHeight="false" outlineLevel="0" collapsed="false">
      <c r="A34" s="13" t="s">
        <v>74</v>
      </c>
      <c r="B34" s="13" t="s">
        <v>32</v>
      </c>
      <c r="C34" s="14" t="n">
        <v>0.85</v>
      </c>
      <c r="D34" s="15" t="n">
        <v>2550</v>
      </c>
    </row>
    <row r="35" customFormat="false" ht="15" hidden="false" customHeight="false" outlineLevel="0" collapsed="false">
      <c r="A35" s="13" t="s">
        <v>75</v>
      </c>
      <c r="B35" s="13" t="s">
        <v>32</v>
      </c>
      <c r="C35" s="14" t="n">
        <v>0.88</v>
      </c>
      <c r="D35" s="15" t="n">
        <v>2000</v>
      </c>
    </row>
    <row r="36" customFormat="false" ht="15" hidden="false" customHeight="false" outlineLevel="0" collapsed="false">
      <c r="A36" s="13" t="s">
        <v>76</v>
      </c>
      <c r="B36" s="13" t="s">
        <v>32</v>
      </c>
      <c r="C36" s="14" t="n">
        <v>0.9</v>
      </c>
      <c r="D36" s="15" t="n">
        <v>2150</v>
      </c>
    </row>
    <row r="37" customFormat="false" ht="15" hidden="false" customHeight="false" outlineLevel="0" collapsed="false">
      <c r="A37" s="13" t="s">
        <v>77</v>
      </c>
      <c r="B37" s="13" t="s">
        <v>33</v>
      </c>
      <c r="C37" s="14" t="n">
        <v>0.88</v>
      </c>
      <c r="D37" s="15" t="n">
        <v>1750</v>
      </c>
    </row>
    <row r="38" customFormat="false" ht="15" hidden="false" customHeight="false" outlineLevel="0" collapsed="false">
      <c r="A38" s="13" t="s">
        <v>78</v>
      </c>
      <c r="B38" s="13" t="s">
        <v>33</v>
      </c>
      <c r="C38" s="14" t="n">
        <v>0.92</v>
      </c>
      <c r="D38" s="15" t="n">
        <v>1350</v>
      </c>
    </row>
    <row r="39" customFormat="false" ht="15" hidden="false" customHeight="false" outlineLevel="0" collapsed="false">
      <c r="A39" s="13" t="s">
        <v>79</v>
      </c>
      <c r="B39" s="13" t="s">
        <v>33</v>
      </c>
      <c r="C39" s="14" t="n">
        <v>0.92</v>
      </c>
      <c r="D39" s="15" t="n">
        <v>1250</v>
      </c>
    </row>
    <row r="40" customFormat="false" ht="15" hidden="false" customHeight="false" outlineLevel="0" collapsed="false">
      <c r="A40" s="13" t="s">
        <v>80</v>
      </c>
      <c r="B40" s="13" t="s">
        <v>33</v>
      </c>
      <c r="C40" s="14" t="n">
        <v>0.88</v>
      </c>
      <c r="D40" s="15" t="n">
        <v>2350</v>
      </c>
    </row>
    <row r="41" customFormat="false" ht="15" hidden="false" customHeight="false" outlineLevel="0" collapsed="false">
      <c r="A41" s="13" t="s">
        <v>81</v>
      </c>
      <c r="B41" s="13" t="s">
        <v>33</v>
      </c>
      <c r="C41" s="14" t="n">
        <v>0.88</v>
      </c>
      <c r="D41" s="15" t="n">
        <v>1500</v>
      </c>
    </row>
    <row r="42" customFormat="false" ht="15" hidden="false" customHeight="false" outlineLevel="0" collapsed="false">
      <c r="A42" s="13" t="s">
        <v>82</v>
      </c>
      <c r="B42" s="13" t="s">
        <v>33</v>
      </c>
      <c r="C42" s="14" t="n">
        <v>0.85</v>
      </c>
      <c r="D42" s="15" t="n">
        <v>900</v>
      </c>
    </row>
    <row r="43" customFormat="false" ht="15" hidden="false" customHeight="false" outlineLevel="0" collapsed="false">
      <c r="A43" s="13" t="s">
        <v>83</v>
      </c>
      <c r="B43" s="13" t="s">
        <v>33</v>
      </c>
      <c r="C43" s="14" t="n">
        <v>0.88</v>
      </c>
      <c r="D43" s="15" t="n">
        <v>1300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9" min="6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5" t="s">
        <v>36</v>
      </c>
      <c r="B1" s="5" t="s">
        <v>37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84</v>
      </c>
      <c r="J1" s="5" t="s">
        <v>25</v>
      </c>
      <c r="K1" s="5" t="s">
        <v>85</v>
      </c>
    </row>
    <row r="2" customFormat="false" ht="15" hidden="false" customHeight="false" outlineLevel="0" collapsed="false">
      <c r="A2" s="17" t="n">
        <v>46023</v>
      </c>
      <c r="B2" s="18" t="s">
        <v>41</v>
      </c>
      <c r="C2" s="2" t="str">
        <f aca="false">VLOOKUP(B2,Targets!$A$2:$D$43,2,FALSE())</f>
        <v>North</v>
      </c>
      <c r="D2" s="19" t="n">
        <v>2520</v>
      </c>
      <c r="E2" s="19" t="n">
        <v>2175</v>
      </c>
      <c r="F2" s="20" t="n">
        <f aca="false">E2-D2</f>
        <v>-345</v>
      </c>
      <c r="G2" s="21" t="n">
        <f aca="false">IF(D2=0,0,F2/D2)</f>
        <v>-0.136904761904762</v>
      </c>
      <c r="H2" s="21" t="n">
        <f aca="false">IF(D2=0,0,E2/D2)</f>
        <v>0.863095238095238</v>
      </c>
      <c r="I2" s="21" t="n">
        <f aca="false">VLOOKUP(B2,Targets!$A$2:$D$43,3,FALSE())</f>
        <v>0.88</v>
      </c>
      <c r="J2" s="22" t="n">
        <f aca="false">H2-I2</f>
        <v>-0.0169047619047619</v>
      </c>
      <c r="K2" s="2" t="str">
        <f aca="false">IF(J2&lt;-Targets!$F$2,"Under",IF(J2&gt;Targets!$F$2,"Over","On Track"))</f>
        <v>On Track</v>
      </c>
    </row>
    <row r="3" customFormat="false" ht="15" hidden="false" customHeight="false" outlineLevel="0" collapsed="false">
      <c r="A3" s="17" t="n">
        <v>46023</v>
      </c>
      <c r="B3" s="18" t="s">
        <v>42</v>
      </c>
      <c r="C3" s="2" t="str">
        <f aca="false">VLOOKUP(B3,Targets!$A$2:$D$43,2,FALSE())</f>
        <v>North</v>
      </c>
      <c r="D3" s="19" t="n">
        <v>2140</v>
      </c>
      <c r="E3" s="19" t="n">
        <v>1974</v>
      </c>
      <c r="F3" s="20" t="n">
        <f aca="false">E3-D3</f>
        <v>-166</v>
      </c>
      <c r="G3" s="21" t="n">
        <f aca="false">IF(D3=0,0,F3/D3)</f>
        <v>-0.0775700934579439</v>
      </c>
      <c r="H3" s="21" t="n">
        <f aca="false">IF(D3=0,0,E3/D3)</f>
        <v>0.922429906542056</v>
      </c>
      <c r="I3" s="21" t="n">
        <f aca="false">VLOOKUP(B3,Targets!$A$2:$D$43,3,FALSE())</f>
        <v>0.88</v>
      </c>
      <c r="J3" s="22" t="n">
        <f aca="false">H3-I3</f>
        <v>0.042429906542056</v>
      </c>
      <c r="K3" s="2" t="str">
        <f aca="false">IF(J3&lt;-Targets!$F$2,"Under",IF(J3&gt;Targets!$F$2,"Over","On Track"))</f>
        <v>On Track</v>
      </c>
    </row>
    <row r="4" customFormat="false" ht="15" hidden="false" customHeight="false" outlineLevel="0" collapsed="false">
      <c r="A4" s="17" t="n">
        <v>46023</v>
      </c>
      <c r="B4" s="18" t="s">
        <v>44</v>
      </c>
      <c r="C4" s="2" t="str">
        <f aca="false">VLOOKUP(B4,Targets!$A$2:$D$43,2,FALSE())</f>
        <v>North</v>
      </c>
      <c r="D4" s="19" t="n">
        <v>2380</v>
      </c>
      <c r="E4" s="19" t="n">
        <v>1971</v>
      </c>
      <c r="F4" s="20" t="n">
        <f aca="false">E4-D4</f>
        <v>-409</v>
      </c>
      <c r="G4" s="21" t="n">
        <f aca="false">IF(D4=0,0,F4/D4)</f>
        <v>-0.171848739495798</v>
      </c>
      <c r="H4" s="21" t="n">
        <f aca="false">IF(D4=0,0,E4/D4)</f>
        <v>0.828151260504202</v>
      </c>
      <c r="I4" s="21" t="n">
        <f aca="false">VLOOKUP(B4,Targets!$A$2:$D$43,3,FALSE())</f>
        <v>0.88</v>
      </c>
      <c r="J4" s="22" t="n">
        <f aca="false">H4-I4</f>
        <v>-0.0518487394957983</v>
      </c>
      <c r="K4" s="2" t="str">
        <f aca="false">IF(J4&lt;-Targets!$F$2,"Under",IF(J4&gt;Targets!$F$2,"Over","On Track"))</f>
        <v>Under</v>
      </c>
    </row>
    <row r="5" customFormat="false" ht="15" hidden="false" customHeight="false" outlineLevel="0" collapsed="false">
      <c r="A5" s="17" t="n">
        <v>46023</v>
      </c>
      <c r="B5" s="18" t="s">
        <v>45</v>
      </c>
      <c r="C5" s="2" t="str">
        <f aca="false">VLOOKUP(B5,Targets!$A$2:$D$43,2,FALSE())</f>
        <v>North</v>
      </c>
      <c r="D5" s="19" t="n">
        <v>1040</v>
      </c>
      <c r="E5" s="19" t="n">
        <v>900</v>
      </c>
      <c r="F5" s="20" t="n">
        <f aca="false">E5-D5</f>
        <v>-140</v>
      </c>
      <c r="G5" s="21" t="n">
        <f aca="false">IF(D5=0,0,F5/D5)</f>
        <v>-0.134615384615385</v>
      </c>
      <c r="H5" s="21" t="n">
        <f aca="false">IF(D5=0,0,E5/D5)</f>
        <v>0.865384615384615</v>
      </c>
      <c r="I5" s="21" t="n">
        <f aca="false">VLOOKUP(B5,Targets!$A$2:$D$43,3,FALSE())</f>
        <v>0.88</v>
      </c>
      <c r="J5" s="22" t="n">
        <f aca="false">H5-I5</f>
        <v>-0.0146153846153846</v>
      </c>
      <c r="K5" s="2" t="str">
        <f aca="false">IF(J5&lt;-Targets!$F$2,"Under",IF(J5&gt;Targets!$F$2,"Over","On Track"))</f>
        <v>On Track</v>
      </c>
    </row>
    <row r="6" customFormat="false" ht="15" hidden="false" customHeight="false" outlineLevel="0" collapsed="false">
      <c r="A6" s="17" t="n">
        <v>46023</v>
      </c>
      <c r="B6" s="18" t="s">
        <v>46</v>
      </c>
      <c r="C6" s="2" t="str">
        <f aca="false">VLOOKUP(B6,Targets!$A$2:$D$43,2,FALSE())</f>
        <v>North</v>
      </c>
      <c r="D6" s="19" t="n">
        <v>2230</v>
      </c>
      <c r="E6" s="19" t="n">
        <v>1810</v>
      </c>
      <c r="F6" s="20" t="n">
        <f aca="false">E6-D6</f>
        <v>-420</v>
      </c>
      <c r="G6" s="21" t="n">
        <f aca="false">IF(D6=0,0,F6/D6)</f>
        <v>-0.188340807174888</v>
      </c>
      <c r="H6" s="21" t="n">
        <f aca="false">IF(D6=0,0,E6/D6)</f>
        <v>0.811659192825112</v>
      </c>
      <c r="I6" s="21" t="n">
        <f aca="false">VLOOKUP(B6,Targets!$A$2:$D$43,3,FALSE())</f>
        <v>0.88</v>
      </c>
      <c r="J6" s="22" t="n">
        <f aca="false">H6-I6</f>
        <v>-0.0683408071748879</v>
      </c>
      <c r="K6" s="2" t="str">
        <f aca="false">IF(J6&lt;-Targets!$F$2,"Under",IF(J6&gt;Targets!$F$2,"Over","On Track"))</f>
        <v>Under</v>
      </c>
    </row>
    <row r="7" customFormat="false" ht="15" hidden="false" customHeight="false" outlineLevel="0" collapsed="false">
      <c r="A7" s="17" t="n">
        <v>46023</v>
      </c>
      <c r="B7" s="18" t="s">
        <v>47</v>
      </c>
      <c r="C7" s="2" t="str">
        <f aca="false">VLOOKUP(B7,Targets!$A$2:$D$43,2,FALSE())</f>
        <v>North</v>
      </c>
      <c r="D7" s="19" t="n">
        <v>2990</v>
      </c>
      <c r="E7" s="19" t="n">
        <v>2676</v>
      </c>
      <c r="F7" s="20" t="n">
        <f aca="false">E7-D7</f>
        <v>-314</v>
      </c>
      <c r="G7" s="21" t="n">
        <f aca="false">IF(D7=0,0,F7/D7)</f>
        <v>-0.105016722408027</v>
      </c>
      <c r="H7" s="21" t="n">
        <f aca="false">IF(D7=0,0,E7/D7)</f>
        <v>0.894983277591973</v>
      </c>
      <c r="I7" s="21" t="n">
        <f aca="false">VLOOKUP(B7,Targets!$A$2:$D$43,3,FALSE())</f>
        <v>0.9</v>
      </c>
      <c r="J7" s="22" t="n">
        <f aca="false">H7-I7</f>
        <v>-0.00501672240802675</v>
      </c>
      <c r="K7" s="2" t="str">
        <f aca="false">IF(J7&lt;-Targets!$F$2,"Under",IF(J7&gt;Targets!$F$2,"Over","On Track"))</f>
        <v>On Track</v>
      </c>
    </row>
    <row r="8" customFormat="false" ht="15" hidden="false" customHeight="false" outlineLevel="0" collapsed="false">
      <c r="A8" s="17" t="n">
        <v>46023</v>
      </c>
      <c r="B8" s="18" t="s">
        <v>48</v>
      </c>
      <c r="C8" s="2" t="str">
        <f aca="false">VLOOKUP(B8,Targets!$A$2:$D$43,2,FALSE())</f>
        <v>North</v>
      </c>
      <c r="D8" s="19" t="n">
        <v>1760</v>
      </c>
      <c r="E8" s="19" t="n">
        <v>1503</v>
      </c>
      <c r="F8" s="20" t="n">
        <f aca="false">E8-D8</f>
        <v>-257</v>
      </c>
      <c r="G8" s="21" t="n">
        <f aca="false">IF(D8=0,0,F8/D8)</f>
        <v>-0.146022727272727</v>
      </c>
      <c r="H8" s="21" t="n">
        <f aca="false">IF(D8=0,0,E8/D8)</f>
        <v>0.853977272727273</v>
      </c>
      <c r="I8" s="21" t="n">
        <f aca="false">VLOOKUP(B8,Targets!$A$2:$D$43,3,FALSE())</f>
        <v>0.85</v>
      </c>
      <c r="J8" s="22" t="n">
        <f aca="false">H8-I8</f>
        <v>0.00397727272727277</v>
      </c>
      <c r="K8" s="2" t="str">
        <f aca="false">IF(J8&lt;-Targets!$F$2,"Under",IF(J8&gt;Targets!$F$2,"Over","On Track"))</f>
        <v>On Track</v>
      </c>
    </row>
    <row r="9" customFormat="false" ht="15" hidden="false" customHeight="false" outlineLevel="0" collapsed="false">
      <c r="A9" s="17" t="n">
        <v>46023</v>
      </c>
      <c r="B9" s="18" t="s">
        <v>49</v>
      </c>
      <c r="C9" s="2" t="str">
        <f aca="false">VLOOKUP(B9,Targets!$A$2:$D$43,2,FALSE())</f>
        <v>South</v>
      </c>
      <c r="D9" s="19" t="n">
        <v>1090</v>
      </c>
      <c r="E9" s="19" t="n">
        <v>894</v>
      </c>
      <c r="F9" s="20" t="n">
        <f aca="false">E9-D9</f>
        <v>-196</v>
      </c>
      <c r="G9" s="21" t="n">
        <f aca="false">IF(D9=0,0,F9/D9)</f>
        <v>-0.179816513761468</v>
      </c>
      <c r="H9" s="21" t="n">
        <f aca="false">IF(D9=0,0,E9/D9)</f>
        <v>0.820183486238532</v>
      </c>
      <c r="I9" s="21" t="n">
        <f aca="false">VLOOKUP(B9,Targets!$A$2:$D$43,3,FALSE())</f>
        <v>0.92</v>
      </c>
      <c r="J9" s="22" t="n">
        <f aca="false">H9-I9</f>
        <v>-0.0998165137614679</v>
      </c>
      <c r="K9" s="2" t="str">
        <f aca="false">IF(J9&lt;-Targets!$F$2,"Under",IF(J9&gt;Targets!$F$2,"Over","On Track"))</f>
        <v>Under</v>
      </c>
    </row>
    <row r="10" customFormat="false" ht="15" hidden="false" customHeight="false" outlineLevel="0" collapsed="false">
      <c r="A10" s="17" t="n">
        <v>46023</v>
      </c>
      <c r="B10" s="18" t="s">
        <v>50</v>
      </c>
      <c r="C10" s="2" t="str">
        <f aca="false">VLOOKUP(B10,Targets!$A$2:$D$43,2,FALSE())</f>
        <v>South</v>
      </c>
      <c r="D10" s="19" t="n">
        <v>2940</v>
      </c>
      <c r="E10" s="19" t="n">
        <v>2342</v>
      </c>
      <c r="F10" s="20" t="n">
        <f aca="false">E10-D10</f>
        <v>-598</v>
      </c>
      <c r="G10" s="21" t="n">
        <f aca="false">IF(D10=0,0,F10/D10)</f>
        <v>-0.203401360544218</v>
      </c>
      <c r="H10" s="21" t="n">
        <f aca="false">IF(D10=0,0,E10/D10)</f>
        <v>0.796598639455782</v>
      </c>
      <c r="I10" s="21" t="n">
        <f aca="false">VLOOKUP(B10,Targets!$A$2:$D$43,3,FALSE())</f>
        <v>0.9</v>
      </c>
      <c r="J10" s="22" t="n">
        <f aca="false">H10-I10</f>
        <v>-0.103401360544218</v>
      </c>
      <c r="K10" s="2" t="str">
        <f aca="false">IF(J10&lt;-Targets!$F$2,"Under",IF(J10&gt;Targets!$F$2,"Over","On Track"))</f>
        <v>Under</v>
      </c>
    </row>
    <row r="11" customFormat="false" ht="15" hidden="false" customHeight="false" outlineLevel="0" collapsed="false">
      <c r="A11" s="17" t="n">
        <v>46023</v>
      </c>
      <c r="B11" s="18" t="s">
        <v>51</v>
      </c>
      <c r="C11" s="2" t="str">
        <f aca="false">VLOOKUP(B11,Targets!$A$2:$D$43,2,FALSE())</f>
        <v>South</v>
      </c>
      <c r="D11" s="19" t="n">
        <v>2330</v>
      </c>
      <c r="E11" s="19" t="n">
        <v>2090</v>
      </c>
      <c r="F11" s="20" t="n">
        <f aca="false">E11-D11</f>
        <v>-240</v>
      </c>
      <c r="G11" s="21" t="n">
        <f aca="false">IF(D11=0,0,F11/D11)</f>
        <v>-0.103004291845494</v>
      </c>
      <c r="H11" s="21" t="n">
        <f aca="false">IF(D11=0,0,E11/D11)</f>
        <v>0.896995708154507</v>
      </c>
      <c r="I11" s="21" t="n">
        <f aca="false">VLOOKUP(B11,Targets!$A$2:$D$43,3,FALSE())</f>
        <v>0.92</v>
      </c>
      <c r="J11" s="22" t="n">
        <f aca="false">H11-I11</f>
        <v>-0.0230042918454936</v>
      </c>
      <c r="K11" s="2" t="str">
        <f aca="false">IF(J11&lt;-Targets!$F$2,"Under",IF(J11&gt;Targets!$F$2,"Over","On Track"))</f>
        <v>On Track</v>
      </c>
    </row>
    <row r="12" customFormat="false" ht="15" hidden="false" customHeight="false" outlineLevel="0" collapsed="false">
      <c r="A12" s="17" t="n">
        <v>46023</v>
      </c>
      <c r="B12" s="18" t="s">
        <v>52</v>
      </c>
      <c r="C12" s="2" t="str">
        <f aca="false">VLOOKUP(B12,Targets!$A$2:$D$43,2,FALSE())</f>
        <v>South</v>
      </c>
      <c r="D12" s="19" t="n">
        <v>1280</v>
      </c>
      <c r="E12" s="19" t="n">
        <v>1154</v>
      </c>
      <c r="F12" s="20" t="n">
        <f aca="false">E12-D12</f>
        <v>-126</v>
      </c>
      <c r="G12" s="21" t="n">
        <f aca="false">IF(D12=0,0,F12/D12)</f>
        <v>-0.0984375</v>
      </c>
      <c r="H12" s="21" t="n">
        <f aca="false">IF(D12=0,0,E12/D12)</f>
        <v>0.9015625</v>
      </c>
      <c r="I12" s="21" t="n">
        <f aca="false">VLOOKUP(B12,Targets!$A$2:$D$43,3,FALSE())</f>
        <v>0.92</v>
      </c>
      <c r="J12" s="22" t="n">
        <f aca="false">H12-I12</f>
        <v>-0.0184375</v>
      </c>
      <c r="K12" s="2" t="str">
        <f aca="false">IF(J12&lt;-Targets!$F$2,"Under",IF(J12&gt;Targets!$F$2,"Over","On Track"))</f>
        <v>On Track</v>
      </c>
    </row>
    <row r="13" customFormat="false" ht="15" hidden="false" customHeight="false" outlineLevel="0" collapsed="false">
      <c r="A13" s="17" t="n">
        <v>46023</v>
      </c>
      <c r="B13" s="18" t="s">
        <v>53</v>
      </c>
      <c r="C13" s="2" t="str">
        <f aca="false">VLOOKUP(B13,Targets!$A$2:$D$43,2,FALSE())</f>
        <v>South</v>
      </c>
      <c r="D13" s="19" t="n">
        <v>2280</v>
      </c>
      <c r="E13" s="19" t="n">
        <v>1754</v>
      </c>
      <c r="F13" s="20" t="n">
        <f aca="false">E13-D13</f>
        <v>-526</v>
      </c>
      <c r="G13" s="21" t="n">
        <f aca="false">IF(D13=0,0,F13/D13)</f>
        <v>-0.230701754385965</v>
      </c>
      <c r="H13" s="21" t="n">
        <f aca="false">IF(D13=0,0,E13/D13)</f>
        <v>0.769298245614035</v>
      </c>
      <c r="I13" s="21" t="n">
        <f aca="false">VLOOKUP(B13,Targets!$A$2:$D$43,3,FALSE())</f>
        <v>0.92</v>
      </c>
      <c r="J13" s="22" t="n">
        <f aca="false">H13-I13</f>
        <v>-0.150701754385965</v>
      </c>
      <c r="K13" s="2" t="str">
        <f aca="false">IF(J13&lt;-Targets!$F$2,"Under",IF(J13&gt;Targets!$F$2,"Over","On Track"))</f>
        <v>Under</v>
      </c>
    </row>
    <row r="14" customFormat="false" ht="15" hidden="false" customHeight="false" outlineLevel="0" collapsed="false">
      <c r="A14" s="17" t="n">
        <v>46023</v>
      </c>
      <c r="B14" s="18" t="s">
        <v>54</v>
      </c>
      <c r="C14" s="2" t="str">
        <f aca="false">VLOOKUP(B14,Targets!$A$2:$D$43,2,FALSE())</f>
        <v>South</v>
      </c>
      <c r="D14" s="19" t="n">
        <v>2990</v>
      </c>
      <c r="E14" s="19" t="n">
        <v>2597</v>
      </c>
      <c r="F14" s="20" t="n">
        <f aca="false">E14-D14</f>
        <v>-393</v>
      </c>
      <c r="G14" s="21" t="n">
        <f aca="false">IF(D14=0,0,F14/D14)</f>
        <v>-0.131438127090301</v>
      </c>
      <c r="H14" s="21" t="n">
        <f aca="false">IF(D14=0,0,E14/D14)</f>
        <v>0.868561872909699</v>
      </c>
      <c r="I14" s="21" t="n">
        <f aca="false">VLOOKUP(B14,Targets!$A$2:$D$43,3,FALSE())</f>
        <v>0.9</v>
      </c>
      <c r="J14" s="22" t="n">
        <f aca="false">H14-I14</f>
        <v>-0.031438127090301</v>
      </c>
      <c r="K14" s="2" t="str">
        <f aca="false">IF(J14&lt;-Targets!$F$2,"Under",IF(J14&gt;Targets!$F$2,"Over","On Track"))</f>
        <v>On Track</v>
      </c>
    </row>
    <row r="15" customFormat="false" ht="15" hidden="false" customHeight="false" outlineLevel="0" collapsed="false">
      <c r="A15" s="17" t="n">
        <v>46023</v>
      </c>
      <c r="B15" s="18" t="s">
        <v>55</v>
      </c>
      <c r="C15" s="2" t="str">
        <f aca="false">VLOOKUP(B15,Targets!$A$2:$D$43,2,FALSE())</f>
        <v>South</v>
      </c>
      <c r="D15" s="19" t="n">
        <v>1280</v>
      </c>
      <c r="E15" s="19" t="n">
        <v>952</v>
      </c>
      <c r="F15" s="20" t="n">
        <f aca="false">E15-D15</f>
        <v>-328</v>
      </c>
      <c r="G15" s="21" t="n">
        <f aca="false">IF(D15=0,0,F15/D15)</f>
        <v>-0.25625</v>
      </c>
      <c r="H15" s="21" t="n">
        <f aca="false">IF(D15=0,0,E15/D15)</f>
        <v>0.74375</v>
      </c>
      <c r="I15" s="21" t="n">
        <f aca="false">VLOOKUP(B15,Targets!$A$2:$D$43,3,FALSE())</f>
        <v>0.92</v>
      </c>
      <c r="J15" s="22" t="n">
        <f aca="false">H15-I15</f>
        <v>-0.17625</v>
      </c>
      <c r="K15" s="2" t="str">
        <f aca="false">IF(J15&lt;-Targets!$F$2,"Under",IF(J15&gt;Targets!$F$2,"Over","On Track"))</f>
        <v>Under</v>
      </c>
    </row>
    <row r="16" customFormat="false" ht="15" hidden="false" customHeight="false" outlineLevel="0" collapsed="false">
      <c r="A16" s="17" t="n">
        <v>46023</v>
      </c>
      <c r="B16" s="18" t="s">
        <v>56</v>
      </c>
      <c r="C16" s="2" t="str">
        <f aca="false">VLOOKUP(B16,Targets!$A$2:$D$43,2,FALSE())</f>
        <v>East</v>
      </c>
      <c r="D16" s="19" t="n">
        <v>2710</v>
      </c>
      <c r="E16" s="19" t="n">
        <v>2339</v>
      </c>
      <c r="F16" s="20" t="n">
        <f aca="false">E16-D16</f>
        <v>-371</v>
      </c>
      <c r="G16" s="21" t="n">
        <f aca="false">IF(D16=0,0,F16/D16)</f>
        <v>-0.13690036900369</v>
      </c>
      <c r="H16" s="21" t="n">
        <f aca="false">IF(D16=0,0,E16/D16)</f>
        <v>0.86309963099631</v>
      </c>
      <c r="I16" s="21" t="n">
        <f aca="false">VLOOKUP(B16,Targets!$A$2:$D$43,3,FALSE())</f>
        <v>0.92</v>
      </c>
      <c r="J16" s="22" t="n">
        <f aca="false">H16-I16</f>
        <v>-0.0569003690036901</v>
      </c>
      <c r="K16" s="2" t="str">
        <f aca="false">IF(J16&lt;-Targets!$F$2,"Under",IF(J16&gt;Targets!$F$2,"Over","On Track"))</f>
        <v>Under</v>
      </c>
    </row>
    <row r="17" customFormat="false" ht="15" hidden="false" customHeight="false" outlineLevel="0" collapsed="false">
      <c r="A17" s="17" t="n">
        <v>46023</v>
      </c>
      <c r="B17" s="18" t="s">
        <v>57</v>
      </c>
      <c r="C17" s="2" t="str">
        <f aca="false">VLOOKUP(B17,Targets!$A$2:$D$43,2,FALSE())</f>
        <v>East</v>
      </c>
      <c r="D17" s="19" t="n">
        <v>2380</v>
      </c>
      <c r="E17" s="19" t="n">
        <v>2026</v>
      </c>
      <c r="F17" s="20" t="n">
        <f aca="false">E17-D17</f>
        <v>-354</v>
      </c>
      <c r="G17" s="21" t="n">
        <f aca="false">IF(D17=0,0,F17/D17)</f>
        <v>-0.148739495798319</v>
      </c>
      <c r="H17" s="21" t="n">
        <f aca="false">IF(D17=0,0,E17/D17)</f>
        <v>0.851260504201681</v>
      </c>
      <c r="I17" s="21" t="n">
        <f aca="false">VLOOKUP(B17,Targets!$A$2:$D$43,3,FALSE())</f>
        <v>0.88</v>
      </c>
      <c r="J17" s="22" t="n">
        <f aca="false">H17-I17</f>
        <v>-0.0287394957983194</v>
      </c>
      <c r="K17" s="2" t="str">
        <f aca="false">IF(J17&lt;-Targets!$F$2,"Under",IF(J17&gt;Targets!$F$2,"Over","On Track"))</f>
        <v>On Track</v>
      </c>
    </row>
    <row r="18" customFormat="false" ht="15" hidden="false" customHeight="false" outlineLevel="0" collapsed="false">
      <c r="A18" s="17" t="n">
        <v>46023</v>
      </c>
      <c r="B18" s="18" t="s">
        <v>58</v>
      </c>
      <c r="C18" s="2" t="str">
        <f aca="false">VLOOKUP(B18,Targets!$A$2:$D$43,2,FALSE())</f>
        <v>East</v>
      </c>
      <c r="D18" s="19" t="n">
        <v>1330</v>
      </c>
      <c r="E18" s="19" t="n">
        <v>1204</v>
      </c>
      <c r="F18" s="20" t="n">
        <f aca="false">E18-D18</f>
        <v>-126</v>
      </c>
      <c r="G18" s="21" t="n">
        <f aca="false">IF(D18=0,0,F18/D18)</f>
        <v>-0.0947368421052632</v>
      </c>
      <c r="H18" s="21" t="n">
        <f aca="false">IF(D18=0,0,E18/D18)</f>
        <v>0.905263157894737</v>
      </c>
      <c r="I18" s="21" t="n">
        <f aca="false">VLOOKUP(B18,Targets!$A$2:$D$43,3,FALSE())</f>
        <v>0.92</v>
      </c>
      <c r="J18" s="22" t="n">
        <f aca="false">H18-I18</f>
        <v>-0.0147368421052632</v>
      </c>
      <c r="K18" s="2" t="str">
        <f aca="false">IF(J18&lt;-Targets!$F$2,"Under",IF(J18&gt;Targets!$F$2,"Over","On Track"))</f>
        <v>On Track</v>
      </c>
    </row>
    <row r="19" customFormat="false" ht="15" hidden="false" customHeight="false" outlineLevel="0" collapsed="false">
      <c r="A19" s="17" t="n">
        <v>46023</v>
      </c>
      <c r="B19" s="18" t="s">
        <v>59</v>
      </c>
      <c r="C19" s="2" t="str">
        <f aca="false">VLOOKUP(B19,Targets!$A$2:$D$43,2,FALSE())</f>
        <v>East</v>
      </c>
      <c r="D19" s="19" t="n">
        <v>1240</v>
      </c>
      <c r="E19" s="19" t="n">
        <v>1001</v>
      </c>
      <c r="F19" s="20" t="n">
        <f aca="false">E19-D19</f>
        <v>-239</v>
      </c>
      <c r="G19" s="21" t="n">
        <f aca="false">IF(D19=0,0,F19/D19)</f>
        <v>-0.192741935483871</v>
      </c>
      <c r="H19" s="21" t="n">
        <f aca="false">IF(D19=0,0,E19/D19)</f>
        <v>0.807258064516129</v>
      </c>
      <c r="I19" s="21" t="n">
        <f aca="false">VLOOKUP(B19,Targets!$A$2:$D$43,3,FALSE())</f>
        <v>0.88</v>
      </c>
      <c r="J19" s="22" t="n">
        <f aca="false">H19-I19</f>
        <v>-0.072741935483871</v>
      </c>
      <c r="K19" s="2" t="str">
        <f aca="false">IF(J19&lt;-Targets!$F$2,"Under",IF(J19&gt;Targets!$F$2,"Over","On Track"))</f>
        <v>Under</v>
      </c>
    </row>
    <row r="20" customFormat="false" ht="15" hidden="false" customHeight="false" outlineLevel="0" collapsed="false">
      <c r="A20" s="17" t="n">
        <v>46023</v>
      </c>
      <c r="B20" s="18" t="s">
        <v>60</v>
      </c>
      <c r="C20" s="2" t="str">
        <f aca="false">VLOOKUP(B20,Targets!$A$2:$D$43,2,FALSE())</f>
        <v>East</v>
      </c>
      <c r="D20" s="19" t="n">
        <v>2900</v>
      </c>
      <c r="E20" s="19" t="n">
        <v>2389</v>
      </c>
      <c r="F20" s="20" t="n">
        <f aca="false">E20-D20</f>
        <v>-511</v>
      </c>
      <c r="G20" s="21" t="n">
        <f aca="false">IF(D20=0,0,F20/D20)</f>
        <v>-0.176206896551724</v>
      </c>
      <c r="H20" s="21" t="n">
        <f aca="false">IF(D20=0,0,E20/D20)</f>
        <v>0.823793103448276</v>
      </c>
      <c r="I20" s="21" t="n">
        <f aca="false">VLOOKUP(B20,Targets!$A$2:$D$43,3,FALSE())</f>
        <v>0.88</v>
      </c>
      <c r="J20" s="22" t="n">
        <f aca="false">H20-I20</f>
        <v>-0.0562068965517242</v>
      </c>
      <c r="K20" s="2" t="str">
        <f aca="false">IF(J20&lt;-Targets!$F$2,"Under",IF(J20&gt;Targets!$F$2,"Over","On Track"))</f>
        <v>Under</v>
      </c>
    </row>
    <row r="21" customFormat="false" ht="15" hidden="false" customHeight="false" outlineLevel="0" collapsed="false">
      <c r="A21" s="17" t="n">
        <v>46023</v>
      </c>
      <c r="B21" s="18" t="s">
        <v>61</v>
      </c>
      <c r="C21" s="2" t="str">
        <f aca="false">VLOOKUP(B21,Targets!$A$2:$D$43,2,FALSE())</f>
        <v>East</v>
      </c>
      <c r="D21" s="19" t="n">
        <v>1570</v>
      </c>
      <c r="E21" s="19" t="n">
        <v>1356</v>
      </c>
      <c r="F21" s="20" t="n">
        <f aca="false">E21-D21</f>
        <v>-214</v>
      </c>
      <c r="G21" s="21" t="n">
        <f aca="false">IF(D21=0,0,F21/D21)</f>
        <v>-0.136305732484076</v>
      </c>
      <c r="H21" s="21" t="n">
        <f aca="false">IF(D21=0,0,E21/D21)</f>
        <v>0.863694267515924</v>
      </c>
      <c r="I21" s="21" t="n">
        <f aca="false">VLOOKUP(B21,Targets!$A$2:$D$43,3,FALSE())</f>
        <v>0.88</v>
      </c>
      <c r="J21" s="22" t="n">
        <f aca="false">H21-I21</f>
        <v>-0.0163057324840764</v>
      </c>
      <c r="K21" s="2" t="str">
        <f aca="false">IF(J21&lt;-Targets!$F$2,"Under",IF(J21&gt;Targets!$F$2,"Over","On Track"))</f>
        <v>On Track</v>
      </c>
    </row>
    <row r="22" customFormat="false" ht="15" hidden="false" customHeight="false" outlineLevel="0" collapsed="false">
      <c r="A22" s="17" t="n">
        <v>46023</v>
      </c>
      <c r="B22" s="18" t="s">
        <v>62</v>
      </c>
      <c r="C22" s="2" t="str">
        <f aca="false">VLOOKUP(B22,Targets!$A$2:$D$43,2,FALSE())</f>
        <v>East</v>
      </c>
      <c r="D22" s="19" t="n">
        <v>1800</v>
      </c>
      <c r="E22" s="19" t="n">
        <v>1558</v>
      </c>
      <c r="F22" s="20" t="n">
        <f aca="false">E22-D22</f>
        <v>-242</v>
      </c>
      <c r="G22" s="21" t="n">
        <f aca="false">IF(D22=0,0,F22/D22)</f>
        <v>-0.134444444444444</v>
      </c>
      <c r="H22" s="21" t="n">
        <f aca="false">IF(D22=0,0,E22/D22)</f>
        <v>0.865555555555556</v>
      </c>
      <c r="I22" s="21" t="n">
        <f aca="false">VLOOKUP(B22,Targets!$A$2:$D$43,3,FALSE())</f>
        <v>0.92</v>
      </c>
      <c r="J22" s="22" t="n">
        <f aca="false">H22-I22</f>
        <v>-0.0544444444444445</v>
      </c>
      <c r="K22" s="2" t="str">
        <f aca="false">IF(J22&lt;-Targets!$F$2,"Under",IF(J22&gt;Targets!$F$2,"Over","On Track"))</f>
        <v>Under</v>
      </c>
    </row>
    <row r="23" customFormat="false" ht="15" hidden="false" customHeight="false" outlineLevel="0" collapsed="false">
      <c r="A23" s="17" t="n">
        <v>46023</v>
      </c>
      <c r="B23" s="18" t="s">
        <v>63</v>
      </c>
      <c r="C23" s="2" t="str">
        <f aca="false">VLOOKUP(B23,Targets!$A$2:$D$43,2,FALSE())</f>
        <v>West</v>
      </c>
      <c r="D23" s="19" t="n">
        <v>2280</v>
      </c>
      <c r="E23" s="19" t="n">
        <v>1956</v>
      </c>
      <c r="F23" s="20" t="n">
        <f aca="false">E23-D23</f>
        <v>-324</v>
      </c>
      <c r="G23" s="21" t="n">
        <f aca="false">IF(D23=0,0,F23/D23)</f>
        <v>-0.142105263157895</v>
      </c>
      <c r="H23" s="21" t="n">
        <f aca="false">IF(D23=0,0,E23/D23)</f>
        <v>0.857894736842105</v>
      </c>
      <c r="I23" s="21" t="n">
        <f aca="false">VLOOKUP(B23,Targets!$A$2:$D$43,3,FALSE())</f>
        <v>0.85</v>
      </c>
      <c r="J23" s="22" t="n">
        <f aca="false">H23-I23</f>
        <v>0.00789473684210529</v>
      </c>
      <c r="K23" s="2" t="str">
        <f aca="false">IF(J23&lt;-Targets!$F$2,"Under",IF(J23&gt;Targets!$F$2,"Over","On Track"))</f>
        <v>On Track</v>
      </c>
    </row>
    <row r="24" customFormat="false" ht="15" hidden="false" customHeight="false" outlineLevel="0" collapsed="false">
      <c r="A24" s="17" t="n">
        <v>46023</v>
      </c>
      <c r="B24" s="18" t="s">
        <v>64</v>
      </c>
      <c r="C24" s="2" t="str">
        <f aca="false">VLOOKUP(B24,Targets!$A$2:$D$43,2,FALSE())</f>
        <v>West</v>
      </c>
      <c r="D24" s="19" t="n">
        <v>1800</v>
      </c>
      <c r="E24" s="19" t="n">
        <v>1788</v>
      </c>
      <c r="F24" s="20" t="n">
        <f aca="false">E24-D24</f>
        <v>-12</v>
      </c>
      <c r="G24" s="21" t="n">
        <f aca="false">IF(D24=0,0,F24/D24)</f>
        <v>-0.00666666666666667</v>
      </c>
      <c r="H24" s="21" t="n">
        <f aca="false">IF(D24=0,0,E24/D24)</f>
        <v>0.993333333333333</v>
      </c>
      <c r="I24" s="21" t="n">
        <f aca="false">VLOOKUP(B24,Targets!$A$2:$D$43,3,FALSE())</f>
        <v>0.92</v>
      </c>
      <c r="J24" s="22" t="n">
        <f aca="false">H24-I24</f>
        <v>0.0733333333333333</v>
      </c>
      <c r="K24" s="2" t="str">
        <f aca="false">IF(J24&lt;-Targets!$F$2,"Under",IF(J24&gt;Targets!$F$2,"Over","On Track"))</f>
        <v>Over</v>
      </c>
    </row>
    <row r="25" customFormat="false" ht="15" hidden="false" customHeight="false" outlineLevel="0" collapsed="false">
      <c r="A25" s="17" t="n">
        <v>46023</v>
      </c>
      <c r="B25" s="18" t="s">
        <v>65</v>
      </c>
      <c r="C25" s="2" t="str">
        <f aca="false">VLOOKUP(B25,Targets!$A$2:$D$43,2,FALSE())</f>
        <v>West</v>
      </c>
      <c r="D25" s="19" t="n">
        <v>860</v>
      </c>
      <c r="E25" s="19" t="n">
        <v>866</v>
      </c>
      <c r="F25" s="20" t="n">
        <f aca="false">E25-D25</f>
        <v>6</v>
      </c>
      <c r="G25" s="21" t="n">
        <f aca="false">IF(D25=0,0,F25/D25)</f>
        <v>0.00697674418604651</v>
      </c>
      <c r="H25" s="21" t="n">
        <f aca="false">IF(D25=0,0,E25/D25)</f>
        <v>1.00697674418605</v>
      </c>
      <c r="I25" s="21" t="n">
        <f aca="false">VLOOKUP(B25,Targets!$A$2:$D$43,3,FALSE())</f>
        <v>0.92</v>
      </c>
      <c r="J25" s="22" t="n">
        <f aca="false">H25-I25</f>
        <v>0.0869767441860464</v>
      </c>
      <c r="K25" s="2" t="str">
        <f aca="false">IF(J25&lt;-Targets!$F$2,"Under",IF(J25&gt;Targets!$F$2,"Over","On Track"))</f>
        <v>Over</v>
      </c>
    </row>
    <row r="26" customFormat="false" ht="15" hidden="false" customHeight="false" outlineLevel="0" collapsed="false">
      <c r="A26" s="17" t="n">
        <v>46023</v>
      </c>
      <c r="B26" s="18" t="s">
        <v>66</v>
      </c>
      <c r="C26" s="2" t="str">
        <f aca="false">VLOOKUP(B26,Targets!$A$2:$D$43,2,FALSE())</f>
        <v>West</v>
      </c>
      <c r="D26" s="19" t="n">
        <v>1380</v>
      </c>
      <c r="E26" s="19" t="n">
        <v>1321</v>
      </c>
      <c r="F26" s="20" t="n">
        <f aca="false">E26-D26</f>
        <v>-59</v>
      </c>
      <c r="G26" s="21" t="n">
        <f aca="false">IF(D26=0,0,F26/D26)</f>
        <v>-0.0427536231884058</v>
      </c>
      <c r="H26" s="21" t="n">
        <f aca="false">IF(D26=0,0,E26/D26)</f>
        <v>0.957246376811594</v>
      </c>
      <c r="I26" s="21" t="n">
        <f aca="false">VLOOKUP(B26,Targets!$A$2:$D$43,3,FALSE())</f>
        <v>0.92</v>
      </c>
      <c r="J26" s="22" t="n">
        <f aca="false">H26-I26</f>
        <v>0.0372463768115942</v>
      </c>
      <c r="K26" s="2" t="str">
        <f aca="false">IF(J26&lt;-Targets!$F$2,"Under",IF(J26&gt;Targets!$F$2,"Over","On Track"))</f>
        <v>On Track</v>
      </c>
    </row>
    <row r="27" customFormat="false" ht="15" hidden="false" customHeight="false" outlineLevel="0" collapsed="false">
      <c r="A27" s="17" t="n">
        <v>46023</v>
      </c>
      <c r="B27" s="18" t="s">
        <v>67</v>
      </c>
      <c r="C27" s="2" t="str">
        <f aca="false">VLOOKUP(B27,Targets!$A$2:$D$43,2,FALSE())</f>
        <v>West</v>
      </c>
      <c r="D27" s="19" t="n">
        <v>1850</v>
      </c>
      <c r="E27" s="19" t="n">
        <v>1778</v>
      </c>
      <c r="F27" s="20" t="n">
        <f aca="false">E27-D27</f>
        <v>-72</v>
      </c>
      <c r="G27" s="21" t="n">
        <f aca="false">IF(D27=0,0,F27/D27)</f>
        <v>-0.0389189189189189</v>
      </c>
      <c r="H27" s="21" t="n">
        <f aca="false">IF(D27=0,0,E27/D27)</f>
        <v>0.961081081081081</v>
      </c>
      <c r="I27" s="21" t="n">
        <f aca="false">VLOOKUP(B27,Targets!$A$2:$D$43,3,FALSE())</f>
        <v>0.92</v>
      </c>
      <c r="J27" s="22" t="n">
        <f aca="false">H27-I27</f>
        <v>0.041081081081081</v>
      </c>
      <c r="K27" s="2" t="str">
        <f aca="false">IF(J27&lt;-Targets!$F$2,"Under",IF(J27&gt;Targets!$F$2,"Over","On Track"))</f>
        <v>On Track</v>
      </c>
    </row>
    <row r="28" customFormat="false" ht="15" hidden="false" customHeight="false" outlineLevel="0" collapsed="false">
      <c r="A28" s="17" t="n">
        <v>46023</v>
      </c>
      <c r="B28" s="18" t="s">
        <v>68</v>
      </c>
      <c r="C28" s="2" t="str">
        <f aca="false">VLOOKUP(B28,Targets!$A$2:$D$43,2,FALSE())</f>
        <v>West</v>
      </c>
      <c r="D28" s="19" t="n">
        <v>2520</v>
      </c>
      <c r="E28" s="19" t="n">
        <v>2366</v>
      </c>
      <c r="F28" s="20" t="n">
        <f aca="false">E28-D28</f>
        <v>-154</v>
      </c>
      <c r="G28" s="21" t="n">
        <f aca="false">IF(D28=0,0,F28/D28)</f>
        <v>-0.0611111111111111</v>
      </c>
      <c r="H28" s="21" t="n">
        <f aca="false">IF(D28=0,0,E28/D28)</f>
        <v>0.938888888888889</v>
      </c>
      <c r="I28" s="21" t="n">
        <f aca="false">VLOOKUP(B28,Targets!$A$2:$D$43,3,FALSE())</f>
        <v>0.9</v>
      </c>
      <c r="J28" s="22" t="n">
        <f aca="false">H28-I28</f>
        <v>0.0388888888888889</v>
      </c>
      <c r="K28" s="2" t="str">
        <f aca="false">IF(J28&lt;-Targets!$F$2,"Under",IF(J28&gt;Targets!$F$2,"Over","On Track"))</f>
        <v>On Track</v>
      </c>
    </row>
    <row r="29" customFormat="false" ht="15" hidden="false" customHeight="false" outlineLevel="0" collapsed="false">
      <c r="A29" s="17" t="n">
        <v>46023</v>
      </c>
      <c r="B29" s="18" t="s">
        <v>69</v>
      </c>
      <c r="C29" s="2" t="str">
        <f aca="false">VLOOKUP(B29,Targets!$A$2:$D$43,2,FALSE())</f>
        <v>West</v>
      </c>
      <c r="D29" s="19" t="n">
        <v>2140</v>
      </c>
      <c r="E29" s="19" t="n">
        <v>2006</v>
      </c>
      <c r="F29" s="20" t="n">
        <f aca="false">E29-D29</f>
        <v>-134</v>
      </c>
      <c r="G29" s="21" t="n">
        <f aca="false">IF(D29=0,0,F29/D29)</f>
        <v>-0.0626168224299065</v>
      </c>
      <c r="H29" s="21" t="n">
        <f aca="false">IF(D29=0,0,E29/D29)</f>
        <v>0.937383177570094</v>
      </c>
      <c r="I29" s="21" t="n">
        <f aca="false">VLOOKUP(B29,Targets!$A$2:$D$43,3,FALSE())</f>
        <v>0.92</v>
      </c>
      <c r="J29" s="22" t="n">
        <f aca="false">H29-I29</f>
        <v>0.0173831775700934</v>
      </c>
      <c r="K29" s="2" t="str">
        <f aca="false">IF(J29&lt;-Targets!$F$2,"Under",IF(J29&gt;Targets!$F$2,"Over","On Track"))</f>
        <v>On Track</v>
      </c>
    </row>
    <row r="30" customFormat="false" ht="15" hidden="false" customHeight="false" outlineLevel="0" collapsed="false">
      <c r="A30" s="17" t="n">
        <v>46023</v>
      </c>
      <c r="B30" s="18" t="s">
        <v>70</v>
      </c>
      <c r="C30" s="2" t="str">
        <f aca="false">VLOOKUP(B30,Targets!$A$2:$D$43,2,FALSE())</f>
        <v>Central</v>
      </c>
      <c r="D30" s="19" t="n">
        <v>1760</v>
      </c>
      <c r="E30" s="19" t="n">
        <v>1469</v>
      </c>
      <c r="F30" s="20" t="n">
        <f aca="false">E30-D30</f>
        <v>-291</v>
      </c>
      <c r="G30" s="21" t="n">
        <f aca="false">IF(D30=0,0,F30/D30)</f>
        <v>-0.165340909090909</v>
      </c>
      <c r="H30" s="21" t="n">
        <f aca="false">IF(D30=0,0,E30/D30)</f>
        <v>0.834659090909091</v>
      </c>
      <c r="I30" s="21" t="n">
        <f aca="false">VLOOKUP(B30,Targets!$A$2:$D$43,3,FALSE())</f>
        <v>0.9</v>
      </c>
      <c r="J30" s="22" t="n">
        <f aca="false">H30-I30</f>
        <v>-0.0653409090909091</v>
      </c>
      <c r="K30" s="2" t="str">
        <f aca="false">IF(J30&lt;-Targets!$F$2,"Under",IF(J30&gt;Targets!$F$2,"Over","On Track"))</f>
        <v>Under</v>
      </c>
    </row>
    <row r="31" customFormat="false" ht="15" hidden="false" customHeight="false" outlineLevel="0" collapsed="false">
      <c r="A31" s="17" t="n">
        <v>46023</v>
      </c>
      <c r="B31" s="18" t="s">
        <v>71</v>
      </c>
      <c r="C31" s="2" t="str">
        <f aca="false">VLOOKUP(B31,Targets!$A$2:$D$43,2,FALSE())</f>
        <v>Central</v>
      </c>
      <c r="D31" s="19" t="n">
        <v>1240</v>
      </c>
      <c r="E31" s="19" t="n">
        <v>940</v>
      </c>
      <c r="F31" s="20" t="n">
        <f aca="false">E31-D31</f>
        <v>-300</v>
      </c>
      <c r="G31" s="21" t="n">
        <f aca="false">IF(D31=0,0,F31/D31)</f>
        <v>-0.241935483870968</v>
      </c>
      <c r="H31" s="21" t="n">
        <f aca="false">IF(D31=0,0,E31/D31)</f>
        <v>0.758064516129032</v>
      </c>
      <c r="I31" s="21" t="n">
        <f aca="false">VLOOKUP(B31,Targets!$A$2:$D$43,3,FALSE())</f>
        <v>0.85</v>
      </c>
      <c r="J31" s="22" t="n">
        <f aca="false">H31-I31</f>
        <v>-0.0919354838709677</v>
      </c>
      <c r="K31" s="2" t="str">
        <f aca="false">IF(J31&lt;-Targets!$F$2,"Under",IF(J31&gt;Targets!$F$2,"Over","On Track"))</f>
        <v>Under</v>
      </c>
    </row>
    <row r="32" customFormat="false" ht="15" hidden="false" customHeight="false" outlineLevel="0" collapsed="false">
      <c r="A32" s="17" t="n">
        <v>46023</v>
      </c>
      <c r="B32" s="18" t="s">
        <v>72</v>
      </c>
      <c r="C32" s="2" t="str">
        <f aca="false">VLOOKUP(B32,Targets!$A$2:$D$43,2,FALSE())</f>
        <v>Central</v>
      </c>
      <c r="D32" s="19" t="n">
        <v>2560</v>
      </c>
      <c r="E32" s="19" t="n">
        <v>2157</v>
      </c>
      <c r="F32" s="20" t="n">
        <f aca="false">E32-D32</f>
        <v>-403</v>
      </c>
      <c r="G32" s="21" t="n">
        <f aca="false">IF(D32=0,0,F32/D32)</f>
        <v>-0.157421875</v>
      </c>
      <c r="H32" s="21" t="n">
        <f aca="false">IF(D32=0,0,E32/D32)</f>
        <v>0.842578125</v>
      </c>
      <c r="I32" s="21" t="n">
        <f aca="false">VLOOKUP(B32,Targets!$A$2:$D$43,3,FALSE())</f>
        <v>0.85</v>
      </c>
      <c r="J32" s="22" t="n">
        <f aca="false">H32-I32</f>
        <v>-0.00742187500000002</v>
      </c>
      <c r="K32" s="2" t="str">
        <f aca="false">IF(J32&lt;-Targets!$F$2,"Under",IF(J32&gt;Targets!$F$2,"Over","On Track"))</f>
        <v>On Track</v>
      </c>
    </row>
    <row r="33" customFormat="false" ht="15" hidden="false" customHeight="false" outlineLevel="0" collapsed="false">
      <c r="A33" s="17" t="n">
        <v>46023</v>
      </c>
      <c r="B33" s="18" t="s">
        <v>73</v>
      </c>
      <c r="C33" s="2" t="str">
        <f aca="false">VLOOKUP(B33,Targets!$A$2:$D$43,2,FALSE())</f>
        <v>Central</v>
      </c>
      <c r="D33" s="19" t="n">
        <v>1240</v>
      </c>
      <c r="E33" s="19" t="n">
        <v>999</v>
      </c>
      <c r="F33" s="20" t="n">
        <f aca="false">E33-D33</f>
        <v>-241</v>
      </c>
      <c r="G33" s="21" t="n">
        <f aca="false">IF(D33=0,0,F33/D33)</f>
        <v>-0.194354838709677</v>
      </c>
      <c r="H33" s="21" t="n">
        <f aca="false">IF(D33=0,0,E33/D33)</f>
        <v>0.805645161290323</v>
      </c>
      <c r="I33" s="21" t="n">
        <f aca="false">VLOOKUP(B33,Targets!$A$2:$D$43,3,FALSE())</f>
        <v>0.85</v>
      </c>
      <c r="J33" s="22" t="n">
        <f aca="false">H33-I33</f>
        <v>-0.0443548387096774</v>
      </c>
      <c r="K33" s="2" t="str">
        <f aca="false">IF(J33&lt;-Targets!$F$2,"Under",IF(J33&gt;Targets!$F$2,"Over","On Track"))</f>
        <v>On Track</v>
      </c>
    </row>
    <row r="34" customFormat="false" ht="15" hidden="false" customHeight="false" outlineLevel="0" collapsed="false">
      <c r="A34" s="17" t="n">
        <v>46023</v>
      </c>
      <c r="B34" s="18" t="s">
        <v>74</v>
      </c>
      <c r="C34" s="2" t="str">
        <f aca="false">VLOOKUP(B34,Targets!$A$2:$D$43,2,FALSE())</f>
        <v>Central</v>
      </c>
      <c r="D34" s="19" t="n">
        <v>2420</v>
      </c>
      <c r="E34" s="19" t="n">
        <v>1944</v>
      </c>
      <c r="F34" s="20" t="n">
        <f aca="false">E34-D34</f>
        <v>-476</v>
      </c>
      <c r="G34" s="21" t="n">
        <f aca="false">IF(D34=0,0,F34/D34)</f>
        <v>-0.196694214876033</v>
      </c>
      <c r="H34" s="21" t="n">
        <f aca="false">IF(D34=0,0,E34/D34)</f>
        <v>0.803305785123967</v>
      </c>
      <c r="I34" s="21" t="n">
        <f aca="false">VLOOKUP(B34,Targets!$A$2:$D$43,3,FALSE())</f>
        <v>0.85</v>
      </c>
      <c r="J34" s="22" t="n">
        <f aca="false">H34-I34</f>
        <v>-0.0466942148760331</v>
      </c>
      <c r="K34" s="2" t="str">
        <f aca="false">IF(J34&lt;-Targets!$F$2,"Under",IF(J34&gt;Targets!$F$2,"Over","On Track"))</f>
        <v>On Track</v>
      </c>
    </row>
    <row r="35" customFormat="false" ht="15" hidden="false" customHeight="false" outlineLevel="0" collapsed="false">
      <c r="A35" s="17" t="n">
        <v>46023</v>
      </c>
      <c r="B35" s="18" t="s">
        <v>75</v>
      </c>
      <c r="C35" s="2" t="str">
        <f aca="false">VLOOKUP(B35,Targets!$A$2:$D$43,2,FALSE())</f>
        <v>Central</v>
      </c>
      <c r="D35" s="19" t="n">
        <v>1900</v>
      </c>
      <c r="E35" s="19" t="n">
        <v>1615</v>
      </c>
      <c r="F35" s="20" t="n">
        <f aca="false">E35-D35</f>
        <v>-285</v>
      </c>
      <c r="G35" s="21" t="n">
        <f aca="false">IF(D35=0,0,F35/D35)</f>
        <v>-0.15</v>
      </c>
      <c r="H35" s="21" t="n">
        <f aca="false">IF(D35=0,0,E35/D35)</f>
        <v>0.85</v>
      </c>
      <c r="I35" s="21" t="n">
        <f aca="false">VLOOKUP(B35,Targets!$A$2:$D$43,3,FALSE())</f>
        <v>0.88</v>
      </c>
      <c r="J35" s="22" t="n">
        <f aca="false">H35-I35</f>
        <v>-0.03</v>
      </c>
      <c r="K35" s="2" t="str">
        <f aca="false">IF(J35&lt;-Targets!$F$2,"Under",IF(J35&gt;Targets!$F$2,"Over","On Track"))</f>
        <v>On Track</v>
      </c>
    </row>
    <row r="36" customFormat="false" ht="15" hidden="false" customHeight="false" outlineLevel="0" collapsed="false">
      <c r="A36" s="17" t="n">
        <v>46023</v>
      </c>
      <c r="B36" s="18" t="s">
        <v>76</v>
      </c>
      <c r="C36" s="2" t="str">
        <f aca="false">VLOOKUP(B36,Targets!$A$2:$D$43,2,FALSE())</f>
        <v>Central</v>
      </c>
      <c r="D36" s="19" t="n">
        <v>2040</v>
      </c>
      <c r="E36" s="19" t="n">
        <v>1809</v>
      </c>
      <c r="F36" s="20" t="n">
        <f aca="false">E36-D36</f>
        <v>-231</v>
      </c>
      <c r="G36" s="21" t="n">
        <f aca="false">IF(D36=0,0,F36/D36)</f>
        <v>-0.113235294117647</v>
      </c>
      <c r="H36" s="21" t="n">
        <f aca="false">IF(D36=0,0,E36/D36)</f>
        <v>0.886764705882353</v>
      </c>
      <c r="I36" s="21" t="n">
        <f aca="false">VLOOKUP(B36,Targets!$A$2:$D$43,3,FALSE())</f>
        <v>0.9</v>
      </c>
      <c r="J36" s="22" t="n">
        <f aca="false">H36-I36</f>
        <v>-0.0132352941176471</v>
      </c>
      <c r="K36" s="2" t="str">
        <f aca="false">IF(J36&lt;-Targets!$F$2,"Under",IF(J36&gt;Targets!$F$2,"Over","On Track"))</f>
        <v>On Track</v>
      </c>
    </row>
    <row r="37" customFormat="false" ht="15" hidden="false" customHeight="false" outlineLevel="0" collapsed="false">
      <c r="A37" s="17" t="n">
        <v>46023</v>
      </c>
      <c r="B37" s="18" t="s">
        <v>77</v>
      </c>
      <c r="C37" s="2" t="str">
        <f aca="false">VLOOKUP(B37,Targets!$A$2:$D$43,2,FALSE())</f>
        <v>North-East</v>
      </c>
      <c r="D37" s="19" t="n">
        <v>1660</v>
      </c>
      <c r="E37" s="19" t="n">
        <v>1463</v>
      </c>
      <c r="F37" s="20" t="n">
        <f aca="false">E37-D37</f>
        <v>-197</v>
      </c>
      <c r="G37" s="21" t="n">
        <f aca="false">IF(D37=0,0,F37/D37)</f>
        <v>-0.118674698795181</v>
      </c>
      <c r="H37" s="21" t="n">
        <f aca="false">IF(D37=0,0,E37/D37)</f>
        <v>0.881325301204819</v>
      </c>
      <c r="I37" s="21" t="n">
        <f aca="false">VLOOKUP(B37,Targets!$A$2:$D$43,3,FALSE())</f>
        <v>0.88</v>
      </c>
      <c r="J37" s="22" t="n">
        <f aca="false">H37-I37</f>
        <v>0.00132530120481922</v>
      </c>
      <c r="K37" s="2" t="str">
        <f aca="false">IF(J37&lt;-Targets!$F$2,"Under",IF(J37&gt;Targets!$F$2,"Over","On Track"))</f>
        <v>On Track</v>
      </c>
    </row>
    <row r="38" customFormat="false" ht="15" hidden="false" customHeight="false" outlineLevel="0" collapsed="false">
      <c r="A38" s="17" t="n">
        <v>46023</v>
      </c>
      <c r="B38" s="18" t="s">
        <v>78</v>
      </c>
      <c r="C38" s="2" t="str">
        <f aca="false">VLOOKUP(B38,Targets!$A$2:$D$43,2,FALSE())</f>
        <v>North-East</v>
      </c>
      <c r="D38" s="19" t="n">
        <v>1280</v>
      </c>
      <c r="E38" s="19" t="n">
        <v>1070</v>
      </c>
      <c r="F38" s="20" t="n">
        <f aca="false">E38-D38</f>
        <v>-210</v>
      </c>
      <c r="G38" s="21" t="n">
        <f aca="false">IF(D38=0,0,F38/D38)</f>
        <v>-0.1640625</v>
      </c>
      <c r="H38" s="21" t="n">
        <f aca="false">IF(D38=0,0,E38/D38)</f>
        <v>0.8359375</v>
      </c>
      <c r="I38" s="21" t="n">
        <f aca="false">VLOOKUP(B38,Targets!$A$2:$D$43,3,FALSE())</f>
        <v>0.92</v>
      </c>
      <c r="J38" s="22" t="n">
        <f aca="false">H38-I38</f>
        <v>-0.0840625</v>
      </c>
      <c r="K38" s="2" t="str">
        <f aca="false">IF(J38&lt;-Targets!$F$2,"Under",IF(J38&gt;Targets!$F$2,"Over","On Track"))</f>
        <v>Under</v>
      </c>
    </row>
    <row r="39" customFormat="false" ht="15" hidden="false" customHeight="false" outlineLevel="0" collapsed="false">
      <c r="A39" s="17" t="n">
        <v>46023</v>
      </c>
      <c r="B39" s="18" t="s">
        <v>79</v>
      </c>
      <c r="C39" s="2" t="str">
        <f aca="false">VLOOKUP(B39,Targets!$A$2:$D$43,2,FALSE())</f>
        <v>North-East</v>
      </c>
      <c r="D39" s="19" t="n">
        <v>1190</v>
      </c>
      <c r="E39" s="19" t="n">
        <v>988</v>
      </c>
      <c r="F39" s="20" t="n">
        <f aca="false">E39-D39</f>
        <v>-202</v>
      </c>
      <c r="G39" s="21" t="n">
        <f aca="false">IF(D39=0,0,F39/D39)</f>
        <v>-0.169747899159664</v>
      </c>
      <c r="H39" s="21" t="n">
        <f aca="false">IF(D39=0,0,E39/D39)</f>
        <v>0.830252100840336</v>
      </c>
      <c r="I39" s="21" t="n">
        <f aca="false">VLOOKUP(B39,Targets!$A$2:$D$43,3,FALSE())</f>
        <v>0.92</v>
      </c>
      <c r="J39" s="22" t="n">
        <f aca="false">H39-I39</f>
        <v>-0.0897478991596639</v>
      </c>
      <c r="K39" s="2" t="str">
        <f aca="false">IF(J39&lt;-Targets!$F$2,"Under",IF(J39&gt;Targets!$F$2,"Over","On Track"))</f>
        <v>Under</v>
      </c>
    </row>
    <row r="40" customFormat="false" ht="15" hidden="false" customHeight="false" outlineLevel="0" collapsed="false">
      <c r="A40" s="17" t="n">
        <v>46023</v>
      </c>
      <c r="B40" s="18" t="s">
        <v>80</v>
      </c>
      <c r="C40" s="2" t="str">
        <f aca="false">VLOOKUP(B40,Targets!$A$2:$D$43,2,FALSE())</f>
        <v>North-East</v>
      </c>
      <c r="D40" s="19" t="n">
        <v>2230</v>
      </c>
      <c r="E40" s="19" t="n">
        <v>1829</v>
      </c>
      <c r="F40" s="20" t="n">
        <f aca="false">E40-D40</f>
        <v>-401</v>
      </c>
      <c r="G40" s="21" t="n">
        <f aca="false">IF(D40=0,0,F40/D40)</f>
        <v>-0.179820627802691</v>
      </c>
      <c r="H40" s="21" t="n">
        <f aca="false">IF(D40=0,0,E40/D40)</f>
        <v>0.820179372197309</v>
      </c>
      <c r="I40" s="21" t="n">
        <f aca="false">VLOOKUP(B40,Targets!$A$2:$D$43,3,FALSE())</f>
        <v>0.88</v>
      </c>
      <c r="J40" s="22" t="n">
        <f aca="false">H40-I40</f>
        <v>-0.0598206278026906</v>
      </c>
      <c r="K40" s="2" t="str">
        <f aca="false">IF(J40&lt;-Targets!$F$2,"Under",IF(J40&gt;Targets!$F$2,"Over","On Track"))</f>
        <v>Under</v>
      </c>
    </row>
    <row r="41" customFormat="false" ht="15" hidden="false" customHeight="false" outlineLevel="0" collapsed="false">
      <c r="A41" s="17" t="n">
        <v>46023</v>
      </c>
      <c r="B41" s="18" t="s">
        <v>81</v>
      </c>
      <c r="C41" s="2" t="str">
        <f aca="false">VLOOKUP(B41,Targets!$A$2:$D$43,2,FALSE())</f>
        <v>North-East</v>
      </c>
      <c r="D41" s="19" t="n">
        <v>1420</v>
      </c>
      <c r="E41" s="19" t="n">
        <v>1090</v>
      </c>
      <c r="F41" s="20" t="n">
        <f aca="false">E41-D41</f>
        <v>-330</v>
      </c>
      <c r="G41" s="21" t="n">
        <f aca="false">IF(D41=0,0,F41/D41)</f>
        <v>-0.232394366197183</v>
      </c>
      <c r="H41" s="21" t="n">
        <f aca="false">IF(D41=0,0,E41/D41)</f>
        <v>0.767605633802817</v>
      </c>
      <c r="I41" s="21" t="n">
        <f aca="false">VLOOKUP(B41,Targets!$A$2:$D$43,3,FALSE())</f>
        <v>0.88</v>
      </c>
      <c r="J41" s="22" t="n">
        <f aca="false">H41-I41</f>
        <v>-0.112394366197183</v>
      </c>
      <c r="K41" s="2" t="str">
        <f aca="false">IF(J41&lt;-Targets!$F$2,"Under",IF(J41&gt;Targets!$F$2,"Over","On Track"))</f>
        <v>Under</v>
      </c>
    </row>
    <row r="42" customFormat="false" ht="15" hidden="false" customHeight="false" outlineLevel="0" collapsed="false">
      <c r="A42" s="17" t="n">
        <v>46023</v>
      </c>
      <c r="B42" s="18" t="s">
        <v>82</v>
      </c>
      <c r="C42" s="2" t="str">
        <f aca="false">VLOOKUP(B42,Targets!$A$2:$D$43,2,FALSE())</f>
        <v>North-East</v>
      </c>
      <c r="D42" s="19" t="n">
        <v>860</v>
      </c>
      <c r="E42" s="19" t="n">
        <v>726</v>
      </c>
      <c r="F42" s="20" t="n">
        <f aca="false">E42-D42</f>
        <v>-134</v>
      </c>
      <c r="G42" s="21" t="n">
        <f aca="false">IF(D42=0,0,F42/D42)</f>
        <v>-0.155813953488372</v>
      </c>
      <c r="H42" s="21" t="n">
        <f aca="false">IF(D42=0,0,E42/D42)</f>
        <v>0.844186046511628</v>
      </c>
      <c r="I42" s="21" t="n">
        <f aca="false">VLOOKUP(B42,Targets!$A$2:$D$43,3,FALSE())</f>
        <v>0.85</v>
      </c>
      <c r="J42" s="22" t="n">
        <f aca="false">H42-I42</f>
        <v>-0.0058139534883721</v>
      </c>
      <c r="K42" s="2" t="str">
        <f aca="false">IF(J42&lt;-Targets!$F$2,"Under",IF(J42&gt;Targets!$F$2,"Over","On Track"))</f>
        <v>On Track</v>
      </c>
    </row>
    <row r="43" customFormat="false" ht="15" hidden="false" customHeight="false" outlineLevel="0" collapsed="false">
      <c r="A43" s="17" t="n">
        <v>46023</v>
      </c>
      <c r="B43" s="18" t="s">
        <v>83</v>
      </c>
      <c r="C43" s="2" t="str">
        <f aca="false">VLOOKUP(B43,Targets!$A$2:$D$43,2,FALSE())</f>
        <v>North-East</v>
      </c>
      <c r="D43" s="19" t="n">
        <v>1240</v>
      </c>
      <c r="E43" s="19" t="n">
        <v>1062</v>
      </c>
      <c r="F43" s="20" t="n">
        <f aca="false">E43-D43</f>
        <v>-178</v>
      </c>
      <c r="G43" s="21" t="n">
        <f aca="false">IF(D43=0,0,F43/D43)</f>
        <v>-0.143548387096774</v>
      </c>
      <c r="H43" s="21" t="n">
        <f aca="false">IF(D43=0,0,E43/D43)</f>
        <v>0.856451612903226</v>
      </c>
      <c r="I43" s="21" t="n">
        <f aca="false">VLOOKUP(B43,Targets!$A$2:$D$43,3,FALSE())</f>
        <v>0.88</v>
      </c>
      <c r="J43" s="22" t="n">
        <f aca="false">H43-I43</f>
        <v>-0.0235483870967742</v>
      </c>
      <c r="K43" s="2" t="str">
        <f aca="false">IF(J43&lt;-Targets!$F$2,"Under",IF(J43&gt;Targets!$F$2,"Over","On Track"))</f>
        <v>On Track</v>
      </c>
    </row>
    <row r="44" customFormat="false" ht="15" hidden="false" customHeight="false" outlineLevel="0" collapsed="false">
      <c r="A44" s="17" t="n">
        <v>46054</v>
      </c>
      <c r="B44" s="18" t="s">
        <v>41</v>
      </c>
      <c r="C44" s="2" t="str">
        <f aca="false">VLOOKUP(B44,Targets!$A$2:$D$43,2,FALSE())</f>
        <v>North</v>
      </c>
      <c r="D44" s="19" t="n">
        <v>2520</v>
      </c>
      <c r="E44" s="19" t="n">
        <v>2305</v>
      </c>
      <c r="F44" s="20" t="n">
        <f aca="false">E44-D44</f>
        <v>-215</v>
      </c>
      <c r="G44" s="21" t="n">
        <f aca="false">IF(D44=0,0,F44/D44)</f>
        <v>-0.0853174603174603</v>
      </c>
      <c r="H44" s="21" t="n">
        <f aca="false">IF(D44=0,0,E44/D44)</f>
        <v>0.91468253968254</v>
      </c>
      <c r="I44" s="21" t="n">
        <f aca="false">VLOOKUP(B44,Targets!$A$2:$D$43,3,FALSE())</f>
        <v>0.88</v>
      </c>
      <c r="J44" s="22" t="n">
        <f aca="false">H44-I44</f>
        <v>0.0346825396825397</v>
      </c>
      <c r="K44" s="2" t="str">
        <f aca="false">IF(J44&lt;-Targets!$F$2,"Under",IF(J44&gt;Targets!$F$2,"Over","On Track"))</f>
        <v>On Track</v>
      </c>
    </row>
    <row r="45" customFormat="false" ht="15" hidden="false" customHeight="false" outlineLevel="0" collapsed="false">
      <c r="A45" s="17" t="n">
        <v>46054</v>
      </c>
      <c r="B45" s="18" t="s">
        <v>42</v>
      </c>
      <c r="C45" s="2" t="str">
        <f aca="false">VLOOKUP(B45,Targets!$A$2:$D$43,2,FALSE())</f>
        <v>North</v>
      </c>
      <c r="D45" s="19" t="n">
        <v>2140</v>
      </c>
      <c r="E45" s="19" t="n">
        <v>1870</v>
      </c>
      <c r="F45" s="20" t="n">
        <f aca="false">E45-D45</f>
        <v>-270</v>
      </c>
      <c r="G45" s="21" t="n">
        <f aca="false">IF(D45=0,0,F45/D45)</f>
        <v>-0.126168224299065</v>
      </c>
      <c r="H45" s="21" t="n">
        <f aca="false">IF(D45=0,0,E45/D45)</f>
        <v>0.873831775700935</v>
      </c>
      <c r="I45" s="21" t="n">
        <f aca="false">VLOOKUP(B45,Targets!$A$2:$D$43,3,FALSE())</f>
        <v>0.88</v>
      </c>
      <c r="J45" s="22" t="n">
        <f aca="false">H45-I45</f>
        <v>-0.00616822429906538</v>
      </c>
      <c r="K45" s="2" t="str">
        <f aca="false">IF(J45&lt;-Targets!$F$2,"Under",IF(J45&gt;Targets!$F$2,"Over","On Track"))</f>
        <v>On Track</v>
      </c>
    </row>
    <row r="46" customFormat="false" ht="15" hidden="false" customHeight="false" outlineLevel="0" collapsed="false">
      <c r="A46" s="17" t="n">
        <v>46054</v>
      </c>
      <c r="B46" s="18" t="s">
        <v>44</v>
      </c>
      <c r="C46" s="2" t="str">
        <f aca="false">VLOOKUP(B46,Targets!$A$2:$D$43,2,FALSE())</f>
        <v>North</v>
      </c>
      <c r="D46" s="19" t="n">
        <v>2380</v>
      </c>
      <c r="E46" s="19" t="n">
        <v>2182</v>
      </c>
      <c r="F46" s="20" t="n">
        <f aca="false">E46-D46</f>
        <v>-198</v>
      </c>
      <c r="G46" s="21" t="n">
        <f aca="false">IF(D46=0,0,F46/D46)</f>
        <v>-0.0831932773109244</v>
      </c>
      <c r="H46" s="21" t="n">
        <f aca="false">IF(D46=0,0,E46/D46)</f>
        <v>0.916806722689076</v>
      </c>
      <c r="I46" s="21" t="n">
        <f aca="false">VLOOKUP(B46,Targets!$A$2:$D$43,3,FALSE())</f>
        <v>0.88</v>
      </c>
      <c r="J46" s="22" t="n">
        <f aca="false">H46-I46</f>
        <v>0.0368067226890756</v>
      </c>
      <c r="K46" s="2" t="str">
        <f aca="false">IF(J46&lt;-Targets!$F$2,"Under",IF(J46&gt;Targets!$F$2,"Over","On Track"))</f>
        <v>On Track</v>
      </c>
    </row>
    <row r="47" customFormat="false" ht="15" hidden="false" customHeight="false" outlineLevel="0" collapsed="false">
      <c r="A47" s="17" t="n">
        <v>46054</v>
      </c>
      <c r="B47" s="18" t="s">
        <v>45</v>
      </c>
      <c r="C47" s="2" t="str">
        <f aca="false">VLOOKUP(B47,Targets!$A$2:$D$43,2,FALSE())</f>
        <v>North</v>
      </c>
      <c r="D47" s="19" t="n">
        <v>1040</v>
      </c>
      <c r="E47" s="19" t="n">
        <v>970</v>
      </c>
      <c r="F47" s="20" t="n">
        <f aca="false">E47-D47</f>
        <v>-70</v>
      </c>
      <c r="G47" s="21" t="n">
        <f aca="false">IF(D47=0,0,F47/D47)</f>
        <v>-0.0673076923076923</v>
      </c>
      <c r="H47" s="21" t="n">
        <f aca="false">IF(D47=0,0,E47/D47)</f>
        <v>0.932692307692308</v>
      </c>
      <c r="I47" s="21" t="n">
        <f aca="false">VLOOKUP(B47,Targets!$A$2:$D$43,3,FALSE())</f>
        <v>0.88</v>
      </c>
      <c r="J47" s="22" t="n">
        <f aca="false">H47-I47</f>
        <v>0.0526923076923077</v>
      </c>
      <c r="K47" s="2" t="str">
        <f aca="false">IF(J47&lt;-Targets!$F$2,"Under",IF(J47&gt;Targets!$F$2,"Over","On Track"))</f>
        <v>Over</v>
      </c>
    </row>
    <row r="48" customFormat="false" ht="15" hidden="false" customHeight="false" outlineLevel="0" collapsed="false">
      <c r="A48" s="17" t="n">
        <v>46054</v>
      </c>
      <c r="B48" s="18" t="s">
        <v>46</v>
      </c>
      <c r="C48" s="2" t="str">
        <f aca="false">VLOOKUP(B48,Targets!$A$2:$D$43,2,FALSE())</f>
        <v>North</v>
      </c>
      <c r="D48" s="19" t="n">
        <v>2230</v>
      </c>
      <c r="E48" s="19" t="n">
        <v>2018</v>
      </c>
      <c r="F48" s="20" t="n">
        <f aca="false">E48-D48</f>
        <v>-212</v>
      </c>
      <c r="G48" s="21" t="n">
        <f aca="false">IF(D48=0,0,F48/D48)</f>
        <v>-0.095067264573991</v>
      </c>
      <c r="H48" s="21" t="n">
        <f aca="false">IF(D48=0,0,E48/D48)</f>
        <v>0.904932735426009</v>
      </c>
      <c r="I48" s="21" t="n">
        <f aca="false">VLOOKUP(B48,Targets!$A$2:$D$43,3,FALSE())</f>
        <v>0.88</v>
      </c>
      <c r="J48" s="22" t="n">
        <f aca="false">H48-I48</f>
        <v>0.0249327354260089</v>
      </c>
      <c r="K48" s="2" t="str">
        <f aca="false">IF(J48&lt;-Targets!$F$2,"Under",IF(J48&gt;Targets!$F$2,"Over","On Track"))</f>
        <v>On Track</v>
      </c>
    </row>
    <row r="49" customFormat="false" ht="15" hidden="false" customHeight="false" outlineLevel="0" collapsed="false">
      <c r="A49" s="17" t="n">
        <v>46054</v>
      </c>
      <c r="B49" s="18" t="s">
        <v>47</v>
      </c>
      <c r="C49" s="2" t="str">
        <f aca="false">VLOOKUP(B49,Targets!$A$2:$D$43,2,FALSE())</f>
        <v>North</v>
      </c>
      <c r="D49" s="19" t="n">
        <v>2990</v>
      </c>
      <c r="E49" s="19" t="n">
        <v>2649</v>
      </c>
      <c r="F49" s="20" t="n">
        <f aca="false">E49-D49</f>
        <v>-341</v>
      </c>
      <c r="G49" s="21" t="n">
        <f aca="false">IF(D49=0,0,F49/D49)</f>
        <v>-0.114046822742475</v>
      </c>
      <c r="H49" s="21" t="n">
        <f aca="false">IF(D49=0,0,E49/D49)</f>
        <v>0.885953177257525</v>
      </c>
      <c r="I49" s="21" t="n">
        <f aca="false">VLOOKUP(B49,Targets!$A$2:$D$43,3,FALSE())</f>
        <v>0.9</v>
      </c>
      <c r="J49" s="22" t="n">
        <f aca="false">H49-I49</f>
        <v>-0.0140468227424749</v>
      </c>
      <c r="K49" s="2" t="str">
        <f aca="false">IF(J49&lt;-Targets!$F$2,"Under",IF(J49&gt;Targets!$F$2,"Over","On Track"))</f>
        <v>On Track</v>
      </c>
    </row>
    <row r="50" customFormat="false" ht="15" hidden="false" customHeight="false" outlineLevel="0" collapsed="false">
      <c r="A50" s="17" t="n">
        <v>46054</v>
      </c>
      <c r="B50" s="18" t="s">
        <v>48</v>
      </c>
      <c r="C50" s="2" t="str">
        <f aca="false">VLOOKUP(B50,Targets!$A$2:$D$43,2,FALSE())</f>
        <v>North</v>
      </c>
      <c r="D50" s="19" t="n">
        <v>1760</v>
      </c>
      <c r="E50" s="19" t="n">
        <v>1348</v>
      </c>
      <c r="F50" s="20" t="n">
        <f aca="false">E50-D50</f>
        <v>-412</v>
      </c>
      <c r="G50" s="21" t="n">
        <f aca="false">IF(D50=0,0,F50/D50)</f>
        <v>-0.234090909090909</v>
      </c>
      <c r="H50" s="21" t="n">
        <f aca="false">IF(D50=0,0,E50/D50)</f>
        <v>0.765909090909091</v>
      </c>
      <c r="I50" s="21" t="n">
        <f aca="false">VLOOKUP(B50,Targets!$A$2:$D$43,3,FALSE())</f>
        <v>0.85</v>
      </c>
      <c r="J50" s="22" t="n">
        <f aca="false">H50-I50</f>
        <v>-0.0840909090909091</v>
      </c>
      <c r="K50" s="2" t="str">
        <f aca="false">IF(J50&lt;-Targets!$F$2,"Under",IF(J50&gt;Targets!$F$2,"Over","On Track"))</f>
        <v>Under</v>
      </c>
    </row>
    <row r="51" customFormat="false" ht="15" hidden="false" customHeight="false" outlineLevel="0" collapsed="false">
      <c r="A51" s="17" t="n">
        <v>46054</v>
      </c>
      <c r="B51" s="18" t="s">
        <v>49</v>
      </c>
      <c r="C51" s="2" t="str">
        <f aca="false">VLOOKUP(B51,Targets!$A$2:$D$43,2,FALSE())</f>
        <v>South</v>
      </c>
      <c r="D51" s="19" t="n">
        <v>1090</v>
      </c>
      <c r="E51" s="19" t="n">
        <v>956</v>
      </c>
      <c r="F51" s="20" t="n">
        <f aca="false">E51-D51</f>
        <v>-134</v>
      </c>
      <c r="G51" s="21" t="n">
        <f aca="false">IF(D51=0,0,F51/D51)</f>
        <v>-0.122935779816514</v>
      </c>
      <c r="H51" s="21" t="n">
        <f aca="false">IF(D51=0,0,E51/D51)</f>
        <v>0.877064220183486</v>
      </c>
      <c r="I51" s="21" t="n">
        <f aca="false">VLOOKUP(B51,Targets!$A$2:$D$43,3,FALSE())</f>
        <v>0.92</v>
      </c>
      <c r="J51" s="22" t="n">
        <f aca="false">H51-I51</f>
        <v>-0.0429357798165138</v>
      </c>
      <c r="K51" s="2" t="str">
        <f aca="false">IF(J51&lt;-Targets!$F$2,"Under",IF(J51&gt;Targets!$F$2,"Over","On Track"))</f>
        <v>On Track</v>
      </c>
    </row>
    <row r="52" customFormat="false" ht="15" hidden="false" customHeight="false" outlineLevel="0" collapsed="false">
      <c r="A52" s="17" t="n">
        <v>46054</v>
      </c>
      <c r="B52" s="18" t="s">
        <v>50</v>
      </c>
      <c r="C52" s="2" t="str">
        <f aca="false">VLOOKUP(B52,Targets!$A$2:$D$43,2,FALSE())</f>
        <v>South</v>
      </c>
      <c r="D52" s="19" t="n">
        <v>2940</v>
      </c>
      <c r="E52" s="19" t="n">
        <v>2329</v>
      </c>
      <c r="F52" s="20" t="n">
        <f aca="false">E52-D52</f>
        <v>-611</v>
      </c>
      <c r="G52" s="21" t="n">
        <f aca="false">IF(D52=0,0,F52/D52)</f>
        <v>-0.207823129251701</v>
      </c>
      <c r="H52" s="21" t="n">
        <f aca="false">IF(D52=0,0,E52/D52)</f>
        <v>0.792176870748299</v>
      </c>
      <c r="I52" s="21" t="n">
        <f aca="false">VLOOKUP(B52,Targets!$A$2:$D$43,3,FALSE())</f>
        <v>0.9</v>
      </c>
      <c r="J52" s="22" t="n">
        <f aca="false">H52-I52</f>
        <v>-0.107823129251701</v>
      </c>
      <c r="K52" s="2" t="str">
        <f aca="false">IF(J52&lt;-Targets!$F$2,"Under",IF(J52&gt;Targets!$F$2,"Over","On Track"))</f>
        <v>Under</v>
      </c>
    </row>
    <row r="53" customFormat="false" ht="15" hidden="false" customHeight="false" outlineLevel="0" collapsed="false">
      <c r="A53" s="17" t="n">
        <v>46054</v>
      </c>
      <c r="B53" s="18" t="s">
        <v>51</v>
      </c>
      <c r="C53" s="2" t="str">
        <f aca="false">VLOOKUP(B53,Targets!$A$2:$D$43,2,FALSE())</f>
        <v>South</v>
      </c>
      <c r="D53" s="19" t="n">
        <v>2330</v>
      </c>
      <c r="E53" s="19" t="n">
        <v>1836</v>
      </c>
      <c r="F53" s="20" t="n">
        <f aca="false">E53-D53</f>
        <v>-494</v>
      </c>
      <c r="G53" s="21" t="n">
        <f aca="false">IF(D53=0,0,F53/D53)</f>
        <v>-0.212017167381974</v>
      </c>
      <c r="H53" s="21" t="n">
        <f aca="false">IF(D53=0,0,E53/D53)</f>
        <v>0.787982832618026</v>
      </c>
      <c r="I53" s="21" t="n">
        <f aca="false">VLOOKUP(B53,Targets!$A$2:$D$43,3,FALSE())</f>
        <v>0.92</v>
      </c>
      <c r="J53" s="22" t="n">
        <f aca="false">H53-I53</f>
        <v>-0.132017167381974</v>
      </c>
      <c r="K53" s="2" t="str">
        <f aca="false">IF(J53&lt;-Targets!$F$2,"Under",IF(J53&gt;Targets!$F$2,"Over","On Track"))</f>
        <v>Under</v>
      </c>
    </row>
    <row r="54" customFormat="false" ht="15" hidden="false" customHeight="false" outlineLevel="0" collapsed="false">
      <c r="A54" s="17" t="n">
        <v>46054</v>
      </c>
      <c r="B54" s="18" t="s">
        <v>52</v>
      </c>
      <c r="C54" s="2" t="str">
        <f aca="false">VLOOKUP(B54,Targets!$A$2:$D$43,2,FALSE())</f>
        <v>South</v>
      </c>
      <c r="D54" s="19" t="n">
        <v>1280</v>
      </c>
      <c r="E54" s="19" t="n">
        <v>1119</v>
      </c>
      <c r="F54" s="20" t="n">
        <f aca="false">E54-D54</f>
        <v>-161</v>
      </c>
      <c r="G54" s="21" t="n">
        <f aca="false">IF(D54=0,0,F54/D54)</f>
        <v>-0.12578125</v>
      </c>
      <c r="H54" s="21" t="n">
        <f aca="false">IF(D54=0,0,E54/D54)</f>
        <v>0.87421875</v>
      </c>
      <c r="I54" s="21" t="n">
        <f aca="false">VLOOKUP(B54,Targets!$A$2:$D$43,3,FALSE())</f>
        <v>0.92</v>
      </c>
      <c r="J54" s="22" t="n">
        <f aca="false">H54-I54</f>
        <v>-0.04578125</v>
      </c>
      <c r="K54" s="2" t="str">
        <f aca="false">IF(J54&lt;-Targets!$F$2,"Under",IF(J54&gt;Targets!$F$2,"Over","On Track"))</f>
        <v>On Track</v>
      </c>
    </row>
    <row r="55" customFormat="false" ht="15" hidden="false" customHeight="false" outlineLevel="0" collapsed="false">
      <c r="A55" s="17" t="n">
        <v>46054</v>
      </c>
      <c r="B55" s="18" t="s">
        <v>53</v>
      </c>
      <c r="C55" s="2" t="str">
        <f aca="false">VLOOKUP(B55,Targets!$A$2:$D$43,2,FALSE())</f>
        <v>South</v>
      </c>
      <c r="D55" s="19" t="n">
        <v>2280</v>
      </c>
      <c r="E55" s="19" t="n">
        <v>1931</v>
      </c>
      <c r="F55" s="20" t="n">
        <f aca="false">E55-D55</f>
        <v>-349</v>
      </c>
      <c r="G55" s="21" t="n">
        <f aca="false">IF(D55=0,0,F55/D55)</f>
        <v>-0.153070175438597</v>
      </c>
      <c r="H55" s="21" t="n">
        <f aca="false">IF(D55=0,0,E55/D55)</f>
        <v>0.846929824561404</v>
      </c>
      <c r="I55" s="21" t="n">
        <f aca="false">VLOOKUP(B55,Targets!$A$2:$D$43,3,FALSE())</f>
        <v>0.92</v>
      </c>
      <c r="J55" s="22" t="n">
        <f aca="false">H55-I55</f>
        <v>-0.0730701754385965</v>
      </c>
      <c r="K55" s="2" t="str">
        <f aca="false">IF(J55&lt;-Targets!$F$2,"Under",IF(J55&gt;Targets!$F$2,"Over","On Track"))</f>
        <v>Under</v>
      </c>
    </row>
    <row r="56" customFormat="false" ht="15" hidden="false" customHeight="false" outlineLevel="0" collapsed="false">
      <c r="A56" s="17" t="n">
        <v>46054</v>
      </c>
      <c r="B56" s="18" t="s">
        <v>54</v>
      </c>
      <c r="C56" s="2" t="str">
        <f aca="false">VLOOKUP(B56,Targets!$A$2:$D$43,2,FALSE())</f>
        <v>South</v>
      </c>
      <c r="D56" s="19" t="n">
        <v>2990</v>
      </c>
      <c r="E56" s="19" t="n">
        <v>2210</v>
      </c>
      <c r="F56" s="20" t="n">
        <f aca="false">E56-D56</f>
        <v>-780</v>
      </c>
      <c r="G56" s="21" t="n">
        <f aca="false">IF(D56=0,0,F56/D56)</f>
        <v>-0.260869565217391</v>
      </c>
      <c r="H56" s="21" t="n">
        <f aca="false">IF(D56=0,0,E56/D56)</f>
        <v>0.739130434782609</v>
      </c>
      <c r="I56" s="21" t="n">
        <f aca="false">VLOOKUP(B56,Targets!$A$2:$D$43,3,FALSE())</f>
        <v>0.9</v>
      </c>
      <c r="J56" s="22" t="n">
        <f aca="false">H56-I56</f>
        <v>-0.160869565217391</v>
      </c>
      <c r="K56" s="2" t="str">
        <f aca="false">IF(J56&lt;-Targets!$F$2,"Under",IF(J56&gt;Targets!$F$2,"Over","On Track"))</f>
        <v>Under</v>
      </c>
    </row>
    <row r="57" customFormat="false" ht="15" hidden="false" customHeight="false" outlineLevel="0" collapsed="false">
      <c r="A57" s="17" t="n">
        <v>46054</v>
      </c>
      <c r="B57" s="18" t="s">
        <v>55</v>
      </c>
      <c r="C57" s="2" t="str">
        <f aca="false">VLOOKUP(B57,Targets!$A$2:$D$43,2,FALSE())</f>
        <v>South</v>
      </c>
      <c r="D57" s="19" t="n">
        <v>1280</v>
      </c>
      <c r="E57" s="19" t="n">
        <v>1056</v>
      </c>
      <c r="F57" s="20" t="n">
        <f aca="false">E57-D57</f>
        <v>-224</v>
      </c>
      <c r="G57" s="21" t="n">
        <f aca="false">IF(D57=0,0,F57/D57)</f>
        <v>-0.175</v>
      </c>
      <c r="H57" s="21" t="n">
        <f aca="false">IF(D57=0,0,E57/D57)</f>
        <v>0.825</v>
      </c>
      <c r="I57" s="21" t="n">
        <f aca="false">VLOOKUP(B57,Targets!$A$2:$D$43,3,FALSE())</f>
        <v>0.92</v>
      </c>
      <c r="J57" s="22" t="n">
        <f aca="false">H57-I57</f>
        <v>-0.0950000000000001</v>
      </c>
      <c r="K57" s="2" t="str">
        <f aca="false">IF(J57&lt;-Targets!$F$2,"Under",IF(J57&gt;Targets!$F$2,"Over","On Track"))</f>
        <v>Under</v>
      </c>
    </row>
    <row r="58" customFormat="false" ht="15" hidden="false" customHeight="false" outlineLevel="0" collapsed="false">
      <c r="A58" s="17" t="n">
        <v>46054</v>
      </c>
      <c r="B58" s="18" t="s">
        <v>56</v>
      </c>
      <c r="C58" s="2" t="str">
        <f aca="false">VLOOKUP(B58,Targets!$A$2:$D$43,2,FALSE())</f>
        <v>East</v>
      </c>
      <c r="D58" s="19" t="n">
        <v>2710</v>
      </c>
      <c r="E58" s="19" t="n">
        <v>2403</v>
      </c>
      <c r="F58" s="20" t="n">
        <f aca="false">E58-D58</f>
        <v>-307</v>
      </c>
      <c r="G58" s="21" t="n">
        <f aca="false">IF(D58=0,0,F58/D58)</f>
        <v>-0.113284132841328</v>
      </c>
      <c r="H58" s="21" t="n">
        <f aca="false">IF(D58=0,0,E58/D58)</f>
        <v>0.886715867158672</v>
      </c>
      <c r="I58" s="21" t="n">
        <f aca="false">VLOOKUP(B58,Targets!$A$2:$D$43,3,FALSE())</f>
        <v>0.92</v>
      </c>
      <c r="J58" s="22" t="n">
        <f aca="false">H58-I58</f>
        <v>-0.0332841328413285</v>
      </c>
      <c r="K58" s="2" t="str">
        <f aca="false">IF(J58&lt;-Targets!$F$2,"Under",IF(J58&gt;Targets!$F$2,"Over","On Track"))</f>
        <v>On Track</v>
      </c>
    </row>
    <row r="59" customFormat="false" ht="15" hidden="false" customHeight="false" outlineLevel="0" collapsed="false">
      <c r="A59" s="17" t="n">
        <v>46054</v>
      </c>
      <c r="B59" s="18" t="s">
        <v>57</v>
      </c>
      <c r="C59" s="2" t="str">
        <f aca="false">VLOOKUP(B59,Targets!$A$2:$D$43,2,FALSE())</f>
        <v>East</v>
      </c>
      <c r="D59" s="19" t="n">
        <v>2380</v>
      </c>
      <c r="E59" s="19" t="n">
        <v>2165</v>
      </c>
      <c r="F59" s="20" t="n">
        <f aca="false">E59-D59</f>
        <v>-215</v>
      </c>
      <c r="G59" s="21" t="n">
        <f aca="false">IF(D59=0,0,F59/D59)</f>
        <v>-0.0903361344537815</v>
      </c>
      <c r="H59" s="21" t="n">
        <f aca="false">IF(D59=0,0,E59/D59)</f>
        <v>0.909663865546219</v>
      </c>
      <c r="I59" s="21" t="n">
        <f aca="false">VLOOKUP(B59,Targets!$A$2:$D$43,3,FALSE())</f>
        <v>0.88</v>
      </c>
      <c r="J59" s="22" t="n">
        <f aca="false">H59-I59</f>
        <v>0.0296638655462185</v>
      </c>
      <c r="K59" s="2" t="str">
        <f aca="false">IF(J59&lt;-Targets!$F$2,"Under",IF(J59&gt;Targets!$F$2,"Over","On Track"))</f>
        <v>On Track</v>
      </c>
    </row>
    <row r="60" customFormat="false" ht="15" hidden="false" customHeight="false" outlineLevel="0" collapsed="false">
      <c r="A60" s="17" t="n">
        <v>46054</v>
      </c>
      <c r="B60" s="18" t="s">
        <v>58</v>
      </c>
      <c r="C60" s="2" t="str">
        <f aca="false">VLOOKUP(B60,Targets!$A$2:$D$43,2,FALSE())</f>
        <v>East</v>
      </c>
      <c r="D60" s="19" t="n">
        <v>1330</v>
      </c>
      <c r="E60" s="19" t="n">
        <v>1071</v>
      </c>
      <c r="F60" s="20" t="n">
        <f aca="false">E60-D60</f>
        <v>-259</v>
      </c>
      <c r="G60" s="21" t="n">
        <f aca="false">IF(D60=0,0,F60/D60)</f>
        <v>-0.194736842105263</v>
      </c>
      <c r="H60" s="21" t="n">
        <f aca="false">IF(D60=0,0,E60/D60)</f>
        <v>0.805263157894737</v>
      </c>
      <c r="I60" s="21" t="n">
        <f aca="false">VLOOKUP(B60,Targets!$A$2:$D$43,3,FALSE())</f>
        <v>0.92</v>
      </c>
      <c r="J60" s="22" t="n">
        <f aca="false">H60-I60</f>
        <v>-0.114736842105263</v>
      </c>
      <c r="K60" s="2" t="str">
        <f aca="false">IF(J60&lt;-Targets!$F$2,"Under",IF(J60&gt;Targets!$F$2,"Over","On Track"))</f>
        <v>Under</v>
      </c>
    </row>
    <row r="61" customFormat="false" ht="15" hidden="false" customHeight="false" outlineLevel="0" collapsed="false">
      <c r="A61" s="17" t="n">
        <v>46054</v>
      </c>
      <c r="B61" s="18" t="s">
        <v>59</v>
      </c>
      <c r="C61" s="2" t="str">
        <f aca="false">VLOOKUP(B61,Targets!$A$2:$D$43,2,FALSE())</f>
        <v>East</v>
      </c>
      <c r="D61" s="19" t="n">
        <v>1240</v>
      </c>
      <c r="E61" s="19" t="n">
        <v>1042</v>
      </c>
      <c r="F61" s="20" t="n">
        <f aca="false">E61-D61</f>
        <v>-198</v>
      </c>
      <c r="G61" s="21" t="n">
        <f aca="false">IF(D61=0,0,F61/D61)</f>
        <v>-0.159677419354839</v>
      </c>
      <c r="H61" s="21" t="n">
        <f aca="false">IF(D61=0,0,E61/D61)</f>
        <v>0.840322580645161</v>
      </c>
      <c r="I61" s="21" t="n">
        <f aca="false">VLOOKUP(B61,Targets!$A$2:$D$43,3,FALSE())</f>
        <v>0.88</v>
      </c>
      <c r="J61" s="22" t="n">
        <f aca="false">H61-I61</f>
        <v>-0.0396774193548387</v>
      </c>
      <c r="K61" s="2" t="str">
        <f aca="false">IF(J61&lt;-Targets!$F$2,"Under",IF(J61&gt;Targets!$F$2,"Over","On Track"))</f>
        <v>On Track</v>
      </c>
    </row>
    <row r="62" customFormat="false" ht="15" hidden="false" customHeight="false" outlineLevel="0" collapsed="false">
      <c r="A62" s="17" t="n">
        <v>46054</v>
      </c>
      <c r="B62" s="18" t="s">
        <v>60</v>
      </c>
      <c r="C62" s="2" t="str">
        <f aca="false">VLOOKUP(B62,Targets!$A$2:$D$43,2,FALSE())</f>
        <v>East</v>
      </c>
      <c r="D62" s="19" t="n">
        <v>2900</v>
      </c>
      <c r="E62" s="19" t="n">
        <v>2474</v>
      </c>
      <c r="F62" s="20" t="n">
        <f aca="false">E62-D62</f>
        <v>-426</v>
      </c>
      <c r="G62" s="21" t="n">
        <f aca="false">IF(D62=0,0,F62/D62)</f>
        <v>-0.146896551724138</v>
      </c>
      <c r="H62" s="21" t="n">
        <f aca="false">IF(D62=0,0,E62/D62)</f>
        <v>0.853103448275862</v>
      </c>
      <c r="I62" s="21" t="n">
        <f aca="false">VLOOKUP(B62,Targets!$A$2:$D$43,3,FALSE())</f>
        <v>0.88</v>
      </c>
      <c r="J62" s="22" t="n">
        <f aca="false">H62-I62</f>
        <v>-0.026896551724138</v>
      </c>
      <c r="K62" s="2" t="str">
        <f aca="false">IF(J62&lt;-Targets!$F$2,"Under",IF(J62&gt;Targets!$F$2,"Over","On Track"))</f>
        <v>On Track</v>
      </c>
    </row>
    <row r="63" customFormat="false" ht="15" hidden="false" customHeight="false" outlineLevel="0" collapsed="false">
      <c r="A63" s="17" t="n">
        <v>46054</v>
      </c>
      <c r="B63" s="18" t="s">
        <v>61</v>
      </c>
      <c r="C63" s="2" t="str">
        <f aca="false">VLOOKUP(B63,Targets!$A$2:$D$43,2,FALSE())</f>
        <v>East</v>
      </c>
      <c r="D63" s="19" t="n">
        <v>1570</v>
      </c>
      <c r="E63" s="19" t="n">
        <v>1462</v>
      </c>
      <c r="F63" s="20" t="n">
        <f aca="false">E63-D63</f>
        <v>-108</v>
      </c>
      <c r="G63" s="21" t="n">
        <f aca="false">IF(D63=0,0,F63/D63)</f>
        <v>-0.0687898089171975</v>
      </c>
      <c r="H63" s="21" t="n">
        <f aca="false">IF(D63=0,0,E63/D63)</f>
        <v>0.931210191082803</v>
      </c>
      <c r="I63" s="21" t="n">
        <f aca="false">VLOOKUP(B63,Targets!$A$2:$D$43,3,FALSE())</f>
        <v>0.88</v>
      </c>
      <c r="J63" s="22" t="n">
        <f aca="false">H63-I63</f>
        <v>0.0512101910828026</v>
      </c>
      <c r="K63" s="2" t="str">
        <f aca="false">IF(J63&lt;-Targets!$F$2,"Under",IF(J63&gt;Targets!$F$2,"Over","On Track"))</f>
        <v>Over</v>
      </c>
    </row>
    <row r="64" customFormat="false" ht="15" hidden="false" customHeight="false" outlineLevel="0" collapsed="false">
      <c r="A64" s="17" t="n">
        <v>46054</v>
      </c>
      <c r="B64" s="18" t="s">
        <v>62</v>
      </c>
      <c r="C64" s="2" t="str">
        <f aca="false">VLOOKUP(B64,Targets!$A$2:$D$43,2,FALSE())</f>
        <v>East</v>
      </c>
      <c r="D64" s="19" t="n">
        <v>1800</v>
      </c>
      <c r="E64" s="19" t="n">
        <v>1522</v>
      </c>
      <c r="F64" s="20" t="n">
        <f aca="false">E64-D64</f>
        <v>-278</v>
      </c>
      <c r="G64" s="21" t="n">
        <f aca="false">IF(D64=0,0,F64/D64)</f>
        <v>-0.154444444444444</v>
      </c>
      <c r="H64" s="21" t="n">
        <f aca="false">IF(D64=0,0,E64/D64)</f>
        <v>0.845555555555556</v>
      </c>
      <c r="I64" s="21" t="n">
        <f aca="false">VLOOKUP(B64,Targets!$A$2:$D$43,3,FALSE())</f>
        <v>0.92</v>
      </c>
      <c r="J64" s="22" t="n">
        <f aca="false">H64-I64</f>
        <v>-0.0744444444444445</v>
      </c>
      <c r="K64" s="2" t="str">
        <f aca="false">IF(J64&lt;-Targets!$F$2,"Under",IF(J64&gt;Targets!$F$2,"Over","On Track"))</f>
        <v>Under</v>
      </c>
    </row>
    <row r="65" customFormat="false" ht="15" hidden="false" customHeight="false" outlineLevel="0" collapsed="false">
      <c r="A65" s="17" t="n">
        <v>46054</v>
      </c>
      <c r="B65" s="18" t="s">
        <v>63</v>
      </c>
      <c r="C65" s="2" t="str">
        <f aca="false">VLOOKUP(B65,Targets!$A$2:$D$43,2,FALSE())</f>
        <v>West</v>
      </c>
      <c r="D65" s="19" t="n">
        <v>2280</v>
      </c>
      <c r="E65" s="19" t="n">
        <v>1694</v>
      </c>
      <c r="F65" s="20" t="n">
        <f aca="false">E65-D65</f>
        <v>-586</v>
      </c>
      <c r="G65" s="21" t="n">
        <f aca="false">IF(D65=0,0,F65/D65)</f>
        <v>-0.257017543859649</v>
      </c>
      <c r="H65" s="21" t="n">
        <f aca="false">IF(D65=0,0,E65/D65)</f>
        <v>0.742982456140351</v>
      </c>
      <c r="I65" s="21" t="n">
        <f aca="false">VLOOKUP(B65,Targets!$A$2:$D$43,3,FALSE())</f>
        <v>0.85</v>
      </c>
      <c r="J65" s="22" t="n">
        <f aca="false">H65-I65</f>
        <v>-0.107017543859649</v>
      </c>
      <c r="K65" s="2" t="str">
        <f aca="false">IF(J65&lt;-Targets!$F$2,"Under",IF(J65&gt;Targets!$F$2,"Over","On Track"))</f>
        <v>Under</v>
      </c>
    </row>
    <row r="66" customFormat="false" ht="15" hidden="false" customHeight="false" outlineLevel="0" collapsed="false">
      <c r="A66" s="17" t="n">
        <v>46054</v>
      </c>
      <c r="B66" s="18" t="s">
        <v>64</v>
      </c>
      <c r="C66" s="2" t="str">
        <f aca="false">VLOOKUP(B66,Targets!$A$2:$D$43,2,FALSE())</f>
        <v>West</v>
      </c>
      <c r="D66" s="19" t="n">
        <v>1800</v>
      </c>
      <c r="E66" s="19" t="n">
        <v>1603</v>
      </c>
      <c r="F66" s="20" t="n">
        <f aca="false">E66-D66</f>
        <v>-197</v>
      </c>
      <c r="G66" s="21" t="n">
        <f aca="false">IF(D66=0,0,F66/D66)</f>
        <v>-0.109444444444444</v>
      </c>
      <c r="H66" s="21" t="n">
        <f aca="false">IF(D66=0,0,E66/D66)</f>
        <v>0.890555555555556</v>
      </c>
      <c r="I66" s="21" t="n">
        <f aca="false">VLOOKUP(B66,Targets!$A$2:$D$43,3,FALSE())</f>
        <v>0.92</v>
      </c>
      <c r="J66" s="22" t="n">
        <f aca="false">H66-I66</f>
        <v>-0.0294444444444445</v>
      </c>
      <c r="K66" s="2" t="str">
        <f aca="false">IF(J66&lt;-Targets!$F$2,"Under",IF(J66&gt;Targets!$F$2,"Over","On Track"))</f>
        <v>On Track</v>
      </c>
    </row>
    <row r="67" customFormat="false" ht="15" hidden="false" customHeight="false" outlineLevel="0" collapsed="false">
      <c r="A67" s="17" t="n">
        <v>46054</v>
      </c>
      <c r="B67" s="18" t="s">
        <v>65</v>
      </c>
      <c r="C67" s="2" t="str">
        <f aca="false">VLOOKUP(B67,Targets!$A$2:$D$43,2,FALSE())</f>
        <v>West</v>
      </c>
      <c r="D67" s="19" t="n">
        <v>860</v>
      </c>
      <c r="E67" s="19" t="n">
        <v>837</v>
      </c>
      <c r="F67" s="20" t="n">
        <f aca="false">E67-D67</f>
        <v>-23</v>
      </c>
      <c r="G67" s="21" t="n">
        <f aca="false">IF(D67=0,0,F67/D67)</f>
        <v>-0.0267441860465116</v>
      </c>
      <c r="H67" s="21" t="n">
        <f aca="false">IF(D67=0,0,E67/D67)</f>
        <v>0.973255813953488</v>
      </c>
      <c r="I67" s="21" t="n">
        <f aca="false">VLOOKUP(B67,Targets!$A$2:$D$43,3,FALSE())</f>
        <v>0.92</v>
      </c>
      <c r="J67" s="22" t="n">
        <f aca="false">H67-I67</f>
        <v>0.0532558139534883</v>
      </c>
      <c r="K67" s="2" t="str">
        <f aca="false">IF(J67&lt;-Targets!$F$2,"Under",IF(J67&gt;Targets!$F$2,"Over","On Track"))</f>
        <v>Over</v>
      </c>
    </row>
    <row r="68" customFormat="false" ht="15" hidden="false" customHeight="false" outlineLevel="0" collapsed="false">
      <c r="A68" s="17" t="n">
        <v>46054</v>
      </c>
      <c r="B68" s="18" t="s">
        <v>66</v>
      </c>
      <c r="C68" s="2" t="str">
        <f aca="false">VLOOKUP(B68,Targets!$A$2:$D$43,2,FALSE())</f>
        <v>West</v>
      </c>
      <c r="D68" s="19" t="n">
        <v>1380</v>
      </c>
      <c r="E68" s="19" t="n">
        <v>1381</v>
      </c>
      <c r="F68" s="20" t="n">
        <f aca="false">E68-D68</f>
        <v>1</v>
      </c>
      <c r="G68" s="21" t="n">
        <f aca="false">IF(D68=0,0,F68/D68)</f>
        <v>0.00072463768115942</v>
      </c>
      <c r="H68" s="21" t="n">
        <f aca="false">IF(D68=0,0,E68/D68)</f>
        <v>1.00072463768116</v>
      </c>
      <c r="I68" s="21" t="n">
        <f aca="false">VLOOKUP(B68,Targets!$A$2:$D$43,3,FALSE())</f>
        <v>0.92</v>
      </c>
      <c r="J68" s="22" t="n">
        <f aca="false">H68-I68</f>
        <v>0.0807246376811593</v>
      </c>
      <c r="K68" s="2" t="str">
        <f aca="false">IF(J68&lt;-Targets!$F$2,"Under",IF(J68&gt;Targets!$F$2,"Over","On Track"))</f>
        <v>Over</v>
      </c>
    </row>
    <row r="69" customFormat="false" ht="15" hidden="false" customHeight="false" outlineLevel="0" collapsed="false">
      <c r="A69" s="17" t="n">
        <v>46054</v>
      </c>
      <c r="B69" s="18" t="s">
        <v>67</v>
      </c>
      <c r="C69" s="2" t="str">
        <f aca="false">VLOOKUP(B69,Targets!$A$2:$D$43,2,FALSE())</f>
        <v>West</v>
      </c>
      <c r="D69" s="19" t="n">
        <v>1850</v>
      </c>
      <c r="E69" s="19" t="n">
        <v>1936</v>
      </c>
      <c r="F69" s="20" t="n">
        <f aca="false">E69-D69</f>
        <v>86</v>
      </c>
      <c r="G69" s="21" t="n">
        <f aca="false">IF(D69=0,0,F69/D69)</f>
        <v>0.0464864864864865</v>
      </c>
      <c r="H69" s="21" t="n">
        <f aca="false">IF(D69=0,0,E69/D69)</f>
        <v>1.04648648648649</v>
      </c>
      <c r="I69" s="21" t="n">
        <f aca="false">VLOOKUP(B69,Targets!$A$2:$D$43,3,FALSE())</f>
        <v>0.92</v>
      </c>
      <c r="J69" s="22" t="n">
        <f aca="false">H69-I69</f>
        <v>0.126486486486486</v>
      </c>
      <c r="K69" s="2" t="str">
        <f aca="false">IF(J69&lt;-Targets!$F$2,"Under",IF(J69&gt;Targets!$F$2,"Over","On Track"))</f>
        <v>Over</v>
      </c>
    </row>
    <row r="70" customFormat="false" ht="15" hidden="false" customHeight="false" outlineLevel="0" collapsed="false">
      <c r="A70" s="17" t="n">
        <v>46054</v>
      </c>
      <c r="B70" s="18" t="s">
        <v>68</v>
      </c>
      <c r="C70" s="2" t="str">
        <f aca="false">VLOOKUP(B70,Targets!$A$2:$D$43,2,FALSE())</f>
        <v>West</v>
      </c>
      <c r="D70" s="19" t="n">
        <v>2520</v>
      </c>
      <c r="E70" s="19" t="n">
        <v>2419</v>
      </c>
      <c r="F70" s="20" t="n">
        <f aca="false">E70-D70</f>
        <v>-101</v>
      </c>
      <c r="G70" s="21" t="n">
        <f aca="false">IF(D70=0,0,F70/D70)</f>
        <v>-0.0400793650793651</v>
      </c>
      <c r="H70" s="21" t="n">
        <f aca="false">IF(D70=0,0,E70/D70)</f>
        <v>0.959920634920635</v>
      </c>
      <c r="I70" s="21" t="n">
        <f aca="false">VLOOKUP(B70,Targets!$A$2:$D$43,3,FALSE())</f>
        <v>0.9</v>
      </c>
      <c r="J70" s="22" t="n">
        <f aca="false">H70-I70</f>
        <v>0.0599206349206349</v>
      </c>
      <c r="K70" s="2" t="str">
        <f aca="false">IF(J70&lt;-Targets!$F$2,"Under",IF(J70&gt;Targets!$F$2,"Over","On Track"))</f>
        <v>Over</v>
      </c>
    </row>
    <row r="71" customFormat="false" ht="15" hidden="false" customHeight="false" outlineLevel="0" collapsed="false">
      <c r="A71" s="17" t="n">
        <v>46054</v>
      </c>
      <c r="B71" s="18" t="s">
        <v>69</v>
      </c>
      <c r="C71" s="2" t="str">
        <f aca="false">VLOOKUP(B71,Targets!$A$2:$D$43,2,FALSE())</f>
        <v>West</v>
      </c>
      <c r="D71" s="19" t="n">
        <v>2140</v>
      </c>
      <c r="E71" s="19" t="n">
        <v>1969</v>
      </c>
      <c r="F71" s="20" t="n">
        <f aca="false">E71-D71</f>
        <v>-171</v>
      </c>
      <c r="G71" s="21" t="n">
        <f aca="false">IF(D71=0,0,F71/D71)</f>
        <v>-0.0799065420560748</v>
      </c>
      <c r="H71" s="21" t="n">
        <f aca="false">IF(D71=0,0,E71/D71)</f>
        <v>0.920093457943925</v>
      </c>
      <c r="I71" s="21" t="n">
        <f aca="false">VLOOKUP(B71,Targets!$A$2:$D$43,3,FALSE())</f>
        <v>0.92</v>
      </c>
      <c r="J71" s="22" t="n">
        <f aca="false">H71-I71</f>
        <v>9.34579439252348E-005</v>
      </c>
      <c r="K71" s="2" t="str">
        <f aca="false">IF(J71&lt;-Targets!$F$2,"Under",IF(J71&gt;Targets!$F$2,"Over","On Track"))</f>
        <v>On Track</v>
      </c>
    </row>
    <row r="72" customFormat="false" ht="15" hidden="false" customHeight="false" outlineLevel="0" collapsed="false">
      <c r="A72" s="17" t="n">
        <v>46054</v>
      </c>
      <c r="B72" s="18" t="s">
        <v>70</v>
      </c>
      <c r="C72" s="2" t="str">
        <f aca="false">VLOOKUP(B72,Targets!$A$2:$D$43,2,FALSE())</f>
        <v>Central</v>
      </c>
      <c r="D72" s="19" t="n">
        <v>1760</v>
      </c>
      <c r="E72" s="19" t="n">
        <v>1591</v>
      </c>
      <c r="F72" s="20" t="n">
        <f aca="false">E72-D72</f>
        <v>-169</v>
      </c>
      <c r="G72" s="21" t="n">
        <f aca="false">IF(D72=0,0,F72/D72)</f>
        <v>-0.0960227272727273</v>
      </c>
      <c r="H72" s="21" t="n">
        <f aca="false">IF(D72=0,0,E72/D72)</f>
        <v>0.903977272727273</v>
      </c>
      <c r="I72" s="21" t="n">
        <f aca="false">VLOOKUP(B72,Targets!$A$2:$D$43,3,FALSE())</f>
        <v>0.9</v>
      </c>
      <c r="J72" s="22" t="n">
        <f aca="false">H72-I72</f>
        <v>0.00397727272727266</v>
      </c>
      <c r="K72" s="2" t="str">
        <f aca="false">IF(J72&lt;-Targets!$F$2,"Under",IF(J72&gt;Targets!$F$2,"Over","On Track"))</f>
        <v>On Track</v>
      </c>
    </row>
    <row r="73" customFormat="false" ht="15" hidden="false" customHeight="false" outlineLevel="0" collapsed="false">
      <c r="A73" s="17" t="n">
        <v>46054</v>
      </c>
      <c r="B73" s="18" t="s">
        <v>71</v>
      </c>
      <c r="C73" s="2" t="str">
        <f aca="false">VLOOKUP(B73,Targets!$A$2:$D$43,2,FALSE())</f>
        <v>Central</v>
      </c>
      <c r="D73" s="19" t="n">
        <v>1240</v>
      </c>
      <c r="E73" s="19" t="n">
        <v>1004</v>
      </c>
      <c r="F73" s="20" t="n">
        <f aca="false">E73-D73</f>
        <v>-236</v>
      </c>
      <c r="G73" s="21" t="n">
        <f aca="false">IF(D73=0,0,F73/D73)</f>
        <v>-0.190322580645161</v>
      </c>
      <c r="H73" s="21" t="n">
        <f aca="false">IF(D73=0,0,E73/D73)</f>
        <v>0.809677419354839</v>
      </c>
      <c r="I73" s="21" t="n">
        <f aca="false">VLOOKUP(B73,Targets!$A$2:$D$43,3,FALSE())</f>
        <v>0.85</v>
      </c>
      <c r="J73" s="22" t="n">
        <f aca="false">H73-I73</f>
        <v>-0.0403225806451613</v>
      </c>
      <c r="K73" s="2" t="str">
        <f aca="false">IF(J73&lt;-Targets!$F$2,"Under",IF(J73&gt;Targets!$F$2,"Over","On Track"))</f>
        <v>On Track</v>
      </c>
    </row>
    <row r="74" customFormat="false" ht="15" hidden="false" customHeight="false" outlineLevel="0" collapsed="false">
      <c r="A74" s="17" t="n">
        <v>46054</v>
      </c>
      <c r="B74" s="18" t="s">
        <v>72</v>
      </c>
      <c r="C74" s="2" t="str">
        <f aca="false">VLOOKUP(B74,Targets!$A$2:$D$43,2,FALSE())</f>
        <v>Central</v>
      </c>
      <c r="D74" s="19" t="n">
        <v>2560</v>
      </c>
      <c r="E74" s="19" t="n">
        <v>2048</v>
      </c>
      <c r="F74" s="20" t="n">
        <f aca="false">E74-D74</f>
        <v>-512</v>
      </c>
      <c r="G74" s="21" t="n">
        <f aca="false">IF(D74=0,0,F74/D74)</f>
        <v>-0.2</v>
      </c>
      <c r="H74" s="21" t="n">
        <f aca="false">IF(D74=0,0,E74/D74)</f>
        <v>0.8</v>
      </c>
      <c r="I74" s="21" t="n">
        <f aca="false">VLOOKUP(B74,Targets!$A$2:$D$43,3,FALSE())</f>
        <v>0.85</v>
      </c>
      <c r="J74" s="22" t="n">
        <f aca="false">H74-I74</f>
        <v>-0.0499999999999999</v>
      </c>
      <c r="K74" s="2" t="str">
        <f aca="false">IF(J74&lt;-Targets!$F$2,"Under",IF(J74&gt;Targets!$F$2,"Over","On Track"))</f>
        <v>On Track</v>
      </c>
    </row>
    <row r="75" customFormat="false" ht="15" hidden="false" customHeight="false" outlineLevel="0" collapsed="false">
      <c r="A75" s="17" t="n">
        <v>46054</v>
      </c>
      <c r="B75" s="18" t="s">
        <v>73</v>
      </c>
      <c r="C75" s="2" t="str">
        <f aca="false">VLOOKUP(B75,Targets!$A$2:$D$43,2,FALSE())</f>
        <v>Central</v>
      </c>
      <c r="D75" s="19" t="n">
        <v>1240</v>
      </c>
      <c r="E75" s="19" t="n">
        <v>1005</v>
      </c>
      <c r="F75" s="20" t="n">
        <f aca="false">E75-D75</f>
        <v>-235</v>
      </c>
      <c r="G75" s="21" t="n">
        <f aca="false">IF(D75=0,0,F75/D75)</f>
        <v>-0.189516129032258</v>
      </c>
      <c r="H75" s="21" t="n">
        <f aca="false">IF(D75=0,0,E75/D75)</f>
        <v>0.810483870967742</v>
      </c>
      <c r="I75" s="21" t="n">
        <f aca="false">VLOOKUP(B75,Targets!$A$2:$D$43,3,FALSE())</f>
        <v>0.85</v>
      </c>
      <c r="J75" s="22" t="n">
        <f aca="false">H75-I75</f>
        <v>-0.0395161290322581</v>
      </c>
      <c r="K75" s="2" t="str">
        <f aca="false">IF(J75&lt;-Targets!$F$2,"Under",IF(J75&gt;Targets!$F$2,"Over","On Track"))</f>
        <v>On Track</v>
      </c>
    </row>
    <row r="76" customFormat="false" ht="15" hidden="false" customHeight="false" outlineLevel="0" collapsed="false">
      <c r="A76" s="17" t="n">
        <v>46054</v>
      </c>
      <c r="B76" s="18" t="s">
        <v>74</v>
      </c>
      <c r="C76" s="2" t="str">
        <f aca="false">VLOOKUP(B76,Targets!$A$2:$D$43,2,FALSE())</f>
        <v>Central</v>
      </c>
      <c r="D76" s="19" t="n">
        <v>2420</v>
      </c>
      <c r="E76" s="19" t="n">
        <v>2114</v>
      </c>
      <c r="F76" s="20" t="n">
        <f aca="false">E76-D76</f>
        <v>-306</v>
      </c>
      <c r="G76" s="21" t="n">
        <f aca="false">IF(D76=0,0,F76/D76)</f>
        <v>-0.126446280991736</v>
      </c>
      <c r="H76" s="21" t="n">
        <f aca="false">IF(D76=0,0,E76/D76)</f>
        <v>0.873553719008265</v>
      </c>
      <c r="I76" s="21" t="n">
        <f aca="false">VLOOKUP(B76,Targets!$A$2:$D$43,3,FALSE())</f>
        <v>0.85</v>
      </c>
      <c r="J76" s="22" t="n">
        <f aca="false">H76-I76</f>
        <v>0.0235537190082645</v>
      </c>
      <c r="K76" s="2" t="str">
        <f aca="false">IF(J76&lt;-Targets!$F$2,"Under",IF(J76&gt;Targets!$F$2,"Over","On Track"))</f>
        <v>On Track</v>
      </c>
    </row>
    <row r="77" customFormat="false" ht="15" hidden="false" customHeight="false" outlineLevel="0" collapsed="false">
      <c r="A77" s="17" t="n">
        <v>46054</v>
      </c>
      <c r="B77" s="18" t="s">
        <v>75</v>
      </c>
      <c r="C77" s="2" t="str">
        <f aca="false">VLOOKUP(B77,Targets!$A$2:$D$43,2,FALSE())</f>
        <v>Central</v>
      </c>
      <c r="D77" s="19" t="n">
        <v>1900</v>
      </c>
      <c r="E77" s="19" t="n">
        <v>1510</v>
      </c>
      <c r="F77" s="20" t="n">
        <f aca="false">E77-D77</f>
        <v>-390</v>
      </c>
      <c r="G77" s="21" t="n">
        <f aca="false">IF(D77=0,0,F77/D77)</f>
        <v>-0.205263157894737</v>
      </c>
      <c r="H77" s="21" t="n">
        <f aca="false">IF(D77=0,0,E77/D77)</f>
        <v>0.794736842105263</v>
      </c>
      <c r="I77" s="21" t="n">
        <f aca="false">VLOOKUP(B77,Targets!$A$2:$D$43,3,FALSE())</f>
        <v>0.88</v>
      </c>
      <c r="J77" s="22" t="n">
        <f aca="false">H77-I77</f>
        <v>-0.0852631578947368</v>
      </c>
      <c r="K77" s="2" t="str">
        <f aca="false">IF(J77&lt;-Targets!$F$2,"Under",IF(J77&gt;Targets!$F$2,"Over","On Track"))</f>
        <v>Under</v>
      </c>
    </row>
    <row r="78" customFormat="false" ht="15" hidden="false" customHeight="false" outlineLevel="0" collapsed="false">
      <c r="A78" s="17" t="n">
        <v>46054</v>
      </c>
      <c r="B78" s="18" t="s">
        <v>76</v>
      </c>
      <c r="C78" s="2" t="str">
        <f aca="false">VLOOKUP(B78,Targets!$A$2:$D$43,2,FALSE())</f>
        <v>Central</v>
      </c>
      <c r="D78" s="19" t="n">
        <v>2040</v>
      </c>
      <c r="E78" s="19" t="n">
        <v>1650</v>
      </c>
      <c r="F78" s="20" t="n">
        <f aca="false">E78-D78</f>
        <v>-390</v>
      </c>
      <c r="G78" s="21" t="n">
        <f aca="false">IF(D78=0,0,F78/D78)</f>
        <v>-0.191176470588235</v>
      </c>
      <c r="H78" s="21" t="n">
        <f aca="false">IF(D78=0,0,E78/D78)</f>
        <v>0.808823529411765</v>
      </c>
      <c r="I78" s="21" t="n">
        <f aca="false">VLOOKUP(B78,Targets!$A$2:$D$43,3,FALSE())</f>
        <v>0.9</v>
      </c>
      <c r="J78" s="22" t="n">
        <f aca="false">H78-I78</f>
        <v>-0.0911764705882353</v>
      </c>
      <c r="K78" s="2" t="str">
        <f aca="false">IF(J78&lt;-Targets!$F$2,"Under",IF(J78&gt;Targets!$F$2,"Over","On Track"))</f>
        <v>Under</v>
      </c>
    </row>
    <row r="79" customFormat="false" ht="15" hidden="false" customHeight="false" outlineLevel="0" collapsed="false">
      <c r="A79" s="17" t="n">
        <v>46054</v>
      </c>
      <c r="B79" s="18" t="s">
        <v>77</v>
      </c>
      <c r="C79" s="2" t="str">
        <f aca="false">VLOOKUP(B79,Targets!$A$2:$D$43,2,FALSE())</f>
        <v>North-East</v>
      </c>
      <c r="D79" s="19" t="n">
        <v>1660</v>
      </c>
      <c r="E79" s="19" t="n">
        <v>1339</v>
      </c>
      <c r="F79" s="20" t="n">
        <f aca="false">E79-D79</f>
        <v>-321</v>
      </c>
      <c r="G79" s="21" t="n">
        <f aca="false">IF(D79=0,0,F79/D79)</f>
        <v>-0.193373493975904</v>
      </c>
      <c r="H79" s="21" t="n">
        <f aca="false">IF(D79=0,0,E79/D79)</f>
        <v>0.806626506024096</v>
      </c>
      <c r="I79" s="21" t="n">
        <f aca="false">VLOOKUP(B79,Targets!$A$2:$D$43,3,FALSE())</f>
        <v>0.88</v>
      </c>
      <c r="J79" s="22" t="n">
        <f aca="false">H79-I79</f>
        <v>-0.0733734939759037</v>
      </c>
      <c r="K79" s="2" t="str">
        <f aca="false">IF(J79&lt;-Targets!$F$2,"Under",IF(J79&gt;Targets!$F$2,"Over","On Track"))</f>
        <v>Under</v>
      </c>
    </row>
    <row r="80" customFormat="false" ht="15" hidden="false" customHeight="false" outlineLevel="0" collapsed="false">
      <c r="A80" s="17" t="n">
        <v>46054</v>
      </c>
      <c r="B80" s="18" t="s">
        <v>78</v>
      </c>
      <c r="C80" s="2" t="str">
        <f aca="false">VLOOKUP(B80,Targets!$A$2:$D$43,2,FALSE())</f>
        <v>North-East</v>
      </c>
      <c r="D80" s="19" t="n">
        <v>1280</v>
      </c>
      <c r="E80" s="19" t="n">
        <v>1084</v>
      </c>
      <c r="F80" s="20" t="n">
        <f aca="false">E80-D80</f>
        <v>-196</v>
      </c>
      <c r="G80" s="21" t="n">
        <f aca="false">IF(D80=0,0,F80/D80)</f>
        <v>-0.153125</v>
      </c>
      <c r="H80" s="21" t="n">
        <f aca="false">IF(D80=0,0,E80/D80)</f>
        <v>0.846875</v>
      </c>
      <c r="I80" s="21" t="n">
        <f aca="false">VLOOKUP(B80,Targets!$A$2:$D$43,3,FALSE())</f>
        <v>0.92</v>
      </c>
      <c r="J80" s="22" t="n">
        <f aca="false">H80-I80</f>
        <v>-0.073125</v>
      </c>
      <c r="K80" s="2" t="str">
        <f aca="false">IF(J80&lt;-Targets!$F$2,"Under",IF(J80&gt;Targets!$F$2,"Over","On Track"))</f>
        <v>Under</v>
      </c>
    </row>
    <row r="81" customFormat="false" ht="15" hidden="false" customHeight="false" outlineLevel="0" collapsed="false">
      <c r="A81" s="17" t="n">
        <v>46054</v>
      </c>
      <c r="B81" s="18" t="s">
        <v>79</v>
      </c>
      <c r="C81" s="2" t="str">
        <f aca="false">VLOOKUP(B81,Targets!$A$2:$D$43,2,FALSE())</f>
        <v>North-East</v>
      </c>
      <c r="D81" s="19" t="n">
        <v>1190</v>
      </c>
      <c r="E81" s="19" t="n">
        <v>963</v>
      </c>
      <c r="F81" s="20" t="n">
        <f aca="false">E81-D81</f>
        <v>-227</v>
      </c>
      <c r="G81" s="21" t="n">
        <f aca="false">IF(D81=0,0,F81/D81)</f>
        <v>-0.190756302521008</v>
      </c>
      <c r="H81" s="21" t="n">
        <f aca="false">IF(D81=0,0,E81/D81)</f>
        <v>0.809243697478992</v>
      </c>
      <c r="I81" s="21" t="n">
        <f aca="false">VLOOKUP(B81,Targets!$A$2:$D$43,3,FALSE())</f>
        <v>0.92</v>
      </c>
      <c r="J81" s="22" t="n">
        <f aca="false">H81-I81</f>
        <v>-0.110756302521008</v>
      </c>
      <c r="K81" s="2" t="str">
        <f aca="false">IF(J81&lt;-Targets!$F$2,"Under",IF(J81&gt;Targets!$F$2,"Over","On Track"))</f>
        <v>Under</v>
      </c>
    </row>
    <row r="82" customFormat="false" ht="15" hidden="false" customHeight="false" outlineLevel="0" collapsed="false">
      <c r="A82" s="17" t="n">
        <v>46054</v>
      </c>
      <c r="B82" s="18" t="s">
        <v>80</v>
      </c>
      <c r="C82" s="2" t="str">
        <f aca="false">VLOOKUP(B82,Targets!$A$2:$D$43,2,FALSE())</f>
        <v>North-East</v>
      </c>
      <c r="D82" s="19" t="n">
        <v>2230</v>
      </c>
      <c r="E82" s="19" t="n">
        <v>1708</v>
      </c>
      <c r="F82" s="20" t="n">
        <f aca="false">E82-D82</f>
        <v>-522</v>
      </c>
      <c r="G82" s="21" t="n">
        <f aca="false">IF(D82=0,0,F82/D82)</f>
        <v>-0.234080717488789</v>
      </c>
      <c r="H82" s="21" t="n">
        <f aca="false">IF(D82=0,0,E82/D82)</f>
        <v>0.765919282511211</v>
      </c>
      <c r="I82" s="21" t="n">
        <f aca="false">VLOOKUP(B82,Targets!$A$2:$D$43,3,FALSE())</f>
        <v>0.88</v>
      </c>
      <c r="J82" s="22" t="n">
        <f aca="false">H82-I82</f>
        <v>-0.114080717488789</v>
      </c>
      <c r="K82" s="2" t="str">
        <f aca="false">IF(J82&lt;-Targets!$F$2,"Under",IF(J82&gt;Targets!$F$2,"Over","On Track"))</f>
        <v>Under</v>
      </c>
    </row>
    <row r="83" customFormat="false" ht="15" hidden="false" customHeight="false" outlineLevel="0" collapsed="false">
      <c r="A83" s="17" t="n">
        <v>46054</v>
      </c>
      <c r="B83" s="18" t="s">
        <v>81</v>
      </c>
      <c r="C83" s="2" t="str">
        <f aca="false">VLOOKUP(B83,Targets!$A$2:$D$43,2,FALSE())</f>
        <v>North-East</v>
      </c>
      <c r="D83" s="19" t="n">
        <v>1420</v>
      </c>
      <c r="E83" s="19" t="n">
        <v>1177</v>
      </c>
      <c r="F83" s="20" t="n">
        <f aca="false">E83-D83</f>
        <v>-243</v>
      </c>
      <c r="G83" s="21" t="n">
        <f aca="false">IF(D83=0,0,F83/D83)</f>
        <v>-0.17112676056338</v>
      </c>
      <c r="H83" s="21" t="n">
        <f aca="false">IF(D83=0,0,E83/D83)</f>
        <v>0.82887323943662</v>
      </c>
      <c r="I83" s="21" t="n">
        <f aca="false">VLOOKUP(B83,Targets!$A$2:$D$43,3,FALSE())</f>
        <v>0.88</v>
      </c>
      <c r="J83" s="22" t="n">
        <f aca="false">H83-I83</f>
        <v>-0.0511267605633803</v>
      </c>
      <c r="K83" s="2" t="str">
        <f aca="false">IF(J83&lt;-Targets!$F$2,"Under",IF(J83&gt;Targets!$F$2,"Over","On Track"))</f>
        <v>Under</v>
      </c>
    </row>
    <row r="84" customFormat="false" ht="15" hidden="false" customHeight="false" outlineLevel="0" collapsed="false">
      <c r="A84" s="17" t="n">
        <v>46054</v>
      </c>
      <c r="B84" s="18" t="s">
        <v>82</v>
      </c>
      <c r="C84" s="2" t="str">
        <f aca="false">VLOOKUP(B84,Targets!$A$2:$D$43,2,FALSE())</f>
        <v>North-East</v>
      </c>
      <c r="D84" s="19" t="n">
        <v>860</v>
      </c>
      <c r="E84" s="19" t="n">
        <v>728</v>
      </c>
      <c r="F84" s="20" t="n">
        <f aca="false">E84-D84</f>
        <v>-132</v>
      </c>
      <c r="G84" s="21" t="n">
        <f aca="false">IF(D84=0,0,F84/D84)</f>
        <v>-0.153488372093023</v>
      </c>
      <c r="H84" s="21" t="n">
        <f aca="false">IF(D84=0,0,E84/D84)</f>
        <v>0.846511627906977</v>
      </c>
      <c r="I84" s="21" t="n">
        <f aca="false">VLOOKUP(B84,Targets!$A$2:$D$43,3,FALSE())</f>
        <v>0.85</v>
      </c>
      <c r="J84" s="22" t="n">
        <f aca="false">H84-I84</f>
        <v>-0.00348837209302322</v>
      </c>
      <c r="K84" s="2" t="str">
        <f aca="false">IF(J84&lt;-Targets!$F$2,"Under",IF(J84&gt;Targets!$F$2,"Over","On Track"))</f>
        <v>On Track</v>
      </c>
    </row>
    <row r="85" customFormat="false" ht="15" hidden="false" customHeight="false" outlineLevel="0" collapsed="false">
      <c r="A85" s="17" t="n">
        <v>46054</v>
      </c>
      <c r="B85" s="18" t="s">
        <v>83</v>
      </c>
      <c r="C85" s="2" t="str">
        <f aca="false">VLOOKUP(B85,Targets!$A$2:$D$43,2,FALSE())</f>
        <v>North-East</v>
      </c>
      <c r="D85" s="19" t="n">
        <v>1240</v>
      </c>
      <c r="E85" s="19" t="n">
        <v>1049</v>
      </c>
      <c r="F85" s="20" t="n">
        <f aca="false">E85-D85</f>
        <v>-191</v>
      </c>
      <c r="G85" s="21" t="n">
        <f aca="false">IF(D85=0,0,F85/D85)</f>
        <v>-0.154032258064516</v>
      </c>
      <c r="H85" s="21" t="n">
        <f aca="false">IF(D85=0,0,E85/D85)</f>
        <v>0.845967741935484</v>
      </c>
      <c r="I85" s="21" t="n">
        <f aca="false">VLOOKUP(B85,Targets!$A$2:$D$43,3,FALSE())</f>
        <v>0.88</v>
      </c>
      <c r="J85" s="22" t="n">
        <f aca="false">H85-I85</f>
        <v>-0.0340322580645162</v>
      </c>
      <c r="K85" s="2" t="str">
        <f aca="false">IF(J85&lt;-Targets!$F$2,"Under",IF(J85&gt;Targets!$F$2,"Over","On Track"))</f>
        <v>On Track</v>
      </c>
    </row>
    <row r="86" customFormat="false" ht="15" hidden="false" customHeight="false" outlineLevel="0" collapsed="false">
      <c r="A86" s="17" t="n">
        <v>46082</v>
      </c>
      <c r="B86" s="18" t="s">
        <v>41</v>
      </c>
      <c r="C86" s="2" t="str">
        <f aca="false">VLOOKUP(B86,Targets!$A$2:$D$43,2,FALSE())</f>
        <v>North</v>
      </c>
      <c r="D86" s="19" t="n">
        <v>2650</v>
      </c>
      <c r="E86" s="19" t="n">
        <v>2423</v>
      </c>
      <c r="F86" s="20" t="n">
        <f aca="false">E86-D86</f>
        <v>-227</v>
      </c>
      <c r="G86" s="21" t="n">
        <f aca="false">IF(D86=0,0,F86/D86)</f>
        <v>-0.0856603773584906</v>
      </c>
      <c r="H86" s="21" t="n">
        <f aca="false">IF(D86=0,0,E86/D86)</f>
        <v>0.91433962264151</v>
      </c>
      <c r="I86" s="21" t="n">
        <f aca="false">VLOOKUP(B86,Targets!$A$2:$D$43,3,FALSE())</f>
        <v>0.88</v>
      </c>
      <c r="J86" s="22" t="n">
        <f aca="false">H86-I86</f>
        <v>0.0343396226415095</v>
      </c>
      <c r="K86" s="2" t="str">
        <f aca="false">IF(J86&lt;-Targets!$F$2,"Under",IF(J86&gt;Targets!$F$2,"Over","On Track"))</f>
        <v>On Track</v>
      </c>
    </row>
    <row r="87" customFormat="false" ht="15" hidden="false" customHeight="false" outlineLevel="0" collapsed="false">
      <c r="A87" s="17" t="n">
        <v>46082</v>
      </c>
      <c r="B87" s="18" t="s">
        <v>42</v>
      </c>
      <c r="C87" s="2" t="str">
        <f aca="false">VLOOKUP(B87,Targets!$A$2:$D$43,2,FALSE())</f>
        <v>North</v>
      </c>
      <c r="D87" s="19" t="n">
        <v>2250</v>
      </c>
      <c r="E87" s="19" t="n">
        <v>2120</v>
      </c>
      <c r="F87" s="20" t="n">
        <f aca="false">E87-D87</f>
        <v>-130</v>
      </c>
      <c r="G87" s="21" t="n">
        <f aca="false">IF(D87=0,0,F87/D87)</f>
        <v>-0.0577777777777778</v>
      </c>
      <c r="H87" s="21" t="n">
        <f aca="false">IF(D87=0,0,E87/D87)</f>
        <v>0.942222222222222</v>
      </c>
      <c r="I87" s="21" t="n">
        <f aca="false">VLOOKUP(B87,Targets!$A$2:$D$43,3,FALSE())</f>
        <v>0.88</v>
      </c>
      <c r="J87" s="22" t="n">
        <f aca="false">H87-I87</f>
        <v>0.0622222222222222</v>
      </c>
      <c r="K87" s="2" t="str">
        <f aca="false">IF(J87&lt;-Targets!$F$2,"Under",IF(J87&gt;Targets!$F$2,"Over","On Track"))</f>
        <v>Over</v>
      </c>
    </row>
    <row r="88" customFormat="false" ht="15" hidden="false" customHeight="false" outlineLevel="0" collapsed="false">
      <c r="A88" s="17" t="n">
        <v>46082</v>
      </c>
      <c r="B88" s="18" t="s">
        <v>44</v>
      </c>
      <c r="C88" s="2" t="str">
        <f aca="false">VLOOKUP(B88,Targets!$A$2:$D$43,2,FALSE())</f>
        <v>North</v>
      </c>
      <c r="D88" s="19" t="n">
        <v>2500</v>
      </c>
      <c r="E88" s="19" t="n">
        <v>1951</v>
      </c>
      <c r="F88" s="20" t="n">
        <f aca="false">E88-D88</f>
        <v>-549</v>
      </c>
      <c r="G88" s="21" t="n">
        <f aca="false">IF(D88=0,0,F88/D88)</f>
        <v>-0.2196</v>
      </c>
      <c r="H88" s="21" t="n">
        <f aca="false">IF(D88=0,0,E88/D88)</f>
        <v>0.7804</v>
      </c>
      <c r="I88" s="21" t="n">
        <f aca="false">VLOOKUP(B88,Targets!$A$2:$D$43,3,FALSE())</f>
        <v>0.88</v>
      </c>
      <c r="J88" s="22" t="n">
        <f aca="false">H88-I88</f>
        <v>-0.0996</v>
      </c>
      <c r="K88" s="2" t="str">
        <f aca="false">IF(J88&lt;-Targets!$F$2,"Under",IF(J88&gt;Targets!$F$2,"Over","On Track"))</f>
        <v>Under</v>
      </c>
    </row>
    <row r="89" customFormat="false" ht="15" hidden="false" customHeight="false" outlineLevel="0" collapsed="false">
      <c r="A89" s="17" t="n">
        <v>46082</v>
      </c>
      <c r="B89" s="18" t="s">
        <v>45</v>
      </c>
      <c r="C89" s="2" t="str">
        <f aca="false">VLOOKUP(B89,Targets!$A$2:$D$43,2,FALSE())</f>
        <v>North</v>
      </c>
      <c r="D89" s="19" t="n">
        <v>1100</v>
      </c>
      <c r="E89" s="19" t="n">
        <v>885</v>
      </c>
      <c r="F89" s="20" t="n">
        <f aca="false">E89-D89</f>
        <v>-215</v>
      </c>
      <c r="G89" s="21" t="n">
        <f aca="false">IF(D89=0,0,F89/D89)</f>
        <v>-0.195454545454545</v>
      </c>
      <c r="H89" s="21" t="n">
        <f aca="false">IF(D89=0,0,E89/D89)</f>
        <v>0.804545454545455</v>
      </c>
      <c r="I89" s="21" t="n">
        <f aca="false">VLOOKUP(B89,Targets!$A$2:$D$43,3,FALSE())</f>
        <v>0.88</v>
      </c>
      <c r="J89" s="22" t="n">
        <f aca="false">H89-I89</f>
        <v>-0.0754545454545454</v>
      </c>
      <c r="K89" s="2" t="str">
        <f aca="false">IF(J89&lt;-Targets!$F$2,"Under",IF(J89&gt;Targets!$F$2,"Over","On Track"))</f>
        <v>Under</v>
      </c>
    </row>
    <row r="90" customFormat="false" ht="15" hidden="false" customHeight="false" outlineLevel="0" collapsed="false">
      <c r="A90" s="17" t="n">
        <v>46082</v>
      </c>
      <c r="B90" s="18" t="s">
        <v>46</v>
      </c>
      <c r="C90" s="2" t="str">
        <f aca="false">VLOOKUP(B90,Targets!$A$2:$D$43,2,FALSE())</f>
        <v>North</v>
      </c>
      <c r="D90" s="19" t="n">
        <v>2350</v>
      </c>
      <c r="E90" s="19" t="n">
        <v>1985</v>
      </c>
      <c r="F90" s="20" t="n">
        <f aca="false">E90-D90</f>
        <v>-365</v>
      </c>
      <c r="G90" s="21" t="n">
        <f aca="false">IF(D90=0,0,F90/D90)</f>
        <v>-0.15531914893617</v>
      </c>
      <c r="H90" s="21" t="n">
        <f aca="false">IF(D90=0,0,E90/D90)</f>
        <v>0.84468085106383</v>
      </c>
      <c r="I90" s="21" t="n">
        <f aca="false">VLOOKUP(B90,Targets!$A$2:$D$43,3,FALSE())</f>
        <v>0.88</v>
      </c>
      <c r="J90" s="22" t="n">
        <f aca="false">H90-I90</f>
        <v>-0.0353191489361702</v>
      </c>
      <c r="K90" s="2" t="str">
        <f aca="false">IF(J90&lt;-Targets!$F$2,"Under",IF(J90&gt;Targets!$F$2,"Over","On Track"))</f>
        <v>On Track</v>
      </c>
    </row>
    <row r="91" customFormat="false" ht="15" hidden="false" customHeight="false" outlineLevel="0" collapsed="false">
      <c r="A91" s="17" t="n">
        <v>46082</v>
      </c>
      <c r="B91" s="18" t="s">
        <v>47</v>
      </c>
      <c r="C91" s="2" t="str">
        <f aca="false">VLOOKUP(B91,Targets!$A$2:$D$43,2,FALSE())</f>
        <v>North</v>
      </c>
      <c r="D91" s="19" t="n">
        <v>3150</v>
      </c>
      <c r="E91" s="19" t="n">
        <v>2647</v>
      </c>
      <c r="F91" s="20" t="n">
        <f aca="false">E91-D91</f>
        <v>-503</v>
      </c>
      <c r="G91" s="21" t="n">
        <f aca="false">IF(D91=0,0,F91/D91)</f>
        <v>-0.15968253968254</v>
      </c>
      <c r="H91" s="21" t="n">
        <f aca="false">IF(D91=0,0,E91/D91)</f>
        <v>0.84031746031746</v>
      </c>
      <c r="I91" s="21" t="n">
        <f aca="false">VLOOKUP(B91,Targets!$A$2:$D$43,3,FALSE())</f>
        <v>0.9</v>
      </c>
      <c r="J91" s="22" t="n">
        <f aca="false">H91-I91</f>
        <v>-0.0596825396825397</v>
      </c>
      <c r="K91" s="2" t="str">
        <f aca="false">IF(J91&lt;-Targets!$F$2,"Under",IF(J91&gt;Targets!$F$2,"Over","On Track"))</f>
        <v>Under</v>
      </c>
    </row>
    <row r="92" customFormat="false" ht="15" hidden="false" customHeight="false" outlineLevel="0" collapsed="false">
      <c r="A92" s="17" t="n">
        <v>46082</v>
      </c>
      <c r="B92" s="18" t="s">
        <v>48</v>
      </c>
      <c r="C92" s="2" t="str">
        <f aca="false">VLOOKUP(B92,Targets!$A$2:$D$43,2,FALSE())</f>
        <v>North</v>
      </c>
      <c r="D92" s="19" t="n">
        <v>1850</v>
      </c>
      <c r="E92" s="19" t="n">
        <v>1481</v>
      </c>
      <c r="F92" s="20" t="n">
        <f aca="false">E92-D92</f>
        <v>-369</v>
      </c>
      <c r="G92" s="21" t="n">
        <f aca="false">IF(D92=0,0,F92/D92)</f>
        <v>-0.199459459459459</v>
      </c>
      <c r="H92" s="21" t="n">
        <f aca="false">IF(D92=0,0,E92/D92)</f>
        <v>0.800540540540541</v>
      </c>
      <c r="I92" s="21" t="n">
        <f aca="false">VLOOKUP(B92,Targets!$A$2:$D$43,3,FALSE())</f>
        <v>0.85</v>
      </c>
      <c r="J92" s="22" t="n">
        <f aca="false">H92-I92</f>
        <v>-0.0494594594594594</v>
      </c>
      <c r="K92" s="2" t="str">
        <f aca="false">IF(J92&lt;-Targets!$F$2,"Under",IF(J92&gt;Targets!$F$2,"Over","On Track"))</f>
        <v>On Track</v>
      </c>
    </row>
    <row r="93" customFormat="false" ht="15" hidden="false" customHeight="false" outlineLevel="0" collapsed="false">
      <c r="A93" s="17" t="n">
        <v>46082</v>
      </c>
      <c r="B93" s="18" t="s">
        <v>49</v>
      </c>
      <c r="C93" s="2" t="str">
        <f aca="false">VLOOKUP(B93,Targets!$A$2:$D$43,2,FALSE())</f>
        <v>South</v>
      </c>
      <c r="D93" s="19" t="n">
        <v>1150</v>
      </c>
      <c r="E93" s="19" t="n">
        <v>959</v>
      </c>
      <c r="F93" s="20" t="n">
        <f aca="false">E93-D93</f>
        <v>-191</v>
      </c>
      <c r="G93" s="21" t="n">
        <f aca="false">IF(D93=0,0,F93/D93)</f>
        <v>-0.166086956521739</v>
      </c>
      <c r="H93" s="21" t="n">
        <f aca="false">IF(D93=0,0,E93/D93)</f>
        <v>0.833913043478261</v>
      </c>
      <c r="I93" s="21" t="n">
        <f aca="false">VLOOKUP(B93,Targets!$A$2:$D$43,3,FALSE())</f>
        <v>0.92</v>
      </c>
      <c r="J93" s="22" t="n">
        <f aca="false">H93-I93</f>
        <v>-0.0860869565217391</v>
      </c>
      <c r="K93" s="2" t="str">
        <f aca="false">IF(J93&lt;-Targets!$F$2,"Under",IF(J93&gt;Targets!$F$2,"Over","On Track"))</f>
        <v>Under</v>
      </c>
    </row>
    <row r="94" customFormat="false" ht="15" hidden="false" customHeight="false" outlineLevel="0" collapsed="false">
      <c r="A94" s="17" t="n">
        <v>46082</v>
      </c>
      <c r="B94" s="18" t="s">
        <v>50</v>
      </c>
      <c r="C94" s="2" t="str">
        <f aca="false">VLOOKUP(B94,Targets!$A$2:$D$43,2,FALSE())</f>
        <v>South</v>
      </c>
      <c r="D94" s="19" t="n">
        <v>3100</v>
      </c>
      <c r="E94" s="19" t="n">
        <v>2312</v>
      </c>
      <c r="F94" s="20" t="n">
        <f aca="false">E94-D94</f>
        <v>-788</v>
      </c>
      <c r="G94" s="21" t="n">
        <f aca="false">IF(D94=0,0,F94/D94)</f>
        <v>-0.254193548387097</v>
      </c>
      <c r="H94" s="21" t="n">
        <f aca="false">IF(D94=0,0,E94/D94)</f>
        <v>0.745806451612903</v>
      </c>
      <c r="I94" s="21" t="n">
        <f aca="false">VLOOKUP(B94,Targets!$A$2:$D$43,3,FALSE())</f>
        <v>0.9</v>
      </c>
      <c r="J94" s="22" t="n">
        <f aca="false">H94-I94</f>
        <v>-0.154193548387097</v>
      </c>
      <c r="K94" s="2" t="str">
        <f aca="false">IF(J94&lt;-Targets!$F$2,"Under",IF(J94&gt;Targets!$F$2,"Over","On Track"))</f>
        <v>Under</v>
      </c>
    </row>
    <row r="95" customFormat="false" ht="15" hidden="false" customHeight="false" outlineLevel="0" collapsed="false">
      <c r="A95" s="17" t="n">
        <v>46082</v>
      </c>
      <c r="B95" s="18" t="s">
        <v>51</v>
      </c>
      <c r="C95" s="2" t="str">
        <f aca="false">VLOOKUP(B95,Targets!$A$2:$D$43,2,FALSE())</f>
        <v>South</v>
      </c>
      <c r="D95" s="19" t="n">
        <v>2450</v>
      </c>
      <c r="E95" s="19" t="n">
        <v>1979</v>
      </c>
      <c r="F95" s="20" t="n">
        <f aca="false">E95-D95</f>
        <v>-471</v>
      </c>
      <c r="G95" s="21" t="n">
        <f aca="false">IF(D95=0,0,F95/D95)</f>
        <v>-0.192244897959184</v>
      </c>
      <c r="H95" s="21" t="n">
        <f aca="false">IF(D95=0,0,E95/D95)</f>
        <v>0.807755102040816</v>
      </c>
      <c r="I95" s="21" t="n">
        <f aca="false">VLOOKUP(B95,Targets!$A$2:$D$43,3,FALSE())</f>
        <v>0.92</v>
      </c>
      <c r="J95" s="22" t="n">
        <f aca="false">H95-I95</f>
        <v>-0.112244897959184</v>
      </c>
      <c r="K95" s="2" t="str">
        <f aca="false">IF(J95&lt;-Targets!$F$2,"Under",IF(J95&gt;Targets!$F$2,"Over","On Track"))</f>
        <v>Under</v>
      </c>
    </row>
    <row r="96" customFormat="false" ht="15" hidden="false" customHeight="false" outlineLevel="0" collapsed="false">
      <c r="A96" s="17" t="n">
        <v>46082</v>
      </c>
      <c r="B96" s="18" t="s">
        <v>52</v>
      </c>
      <c r="C96" s="2" t="str">
        <f aca="false">VLOOKUP(B96,Targets!$A$2:$D$43,2,FALSE())</f>
        <v>South</v>
      </c>
      <c r="D96" s="19" t="n">
        <v>1350</v>
      </c>
      <c r="E96" s="19" t="n">
        <v>983</v>
      </c>
      <c r="F96" s="20" t="n">
        <f aca="false">E96-D96</f>
        <v>-367</v>
      </c>
      <c r="G96" s="21" t="n">
        <f aca="false">IF(D96=0,0,F96/D96)</f>
        <v>-0.271851851851852</v>
      </c>
      <c r="H96" s="21" t="n">
        <f aca="false">IF(D96=0,0,E96/D96)</f>
        <v>0.728148148148148</v>
      </c>
      <c r="I96" s="21" t="n">
        <f aca="false">VLOOKUP(B96,Targets!$A$2:$D$43,3,FALSE())</f>
        <v>0.92</v>
      </c>
      <c r="J96" s="22" t="n">
        <f aca="false">H96-I96</f>
        <v>-0.191851851851852</v>
      </c>
      <c r="K96" s="2" t="str">
        <f aca="false">IF(J96&lt;-Targets!$F$2,"Under",IF(J96&gt;Targets!$F$2,"Over","On Track"))</f>
        <v>Under</v>
      </c>
    </row>
    <row r="97" customFormat="false" ht="15" hidden="false" customHeight="false" outlineLevel="0" collapsed="false">
      <c r="A97" s="17" t="n">
        <v>46082</v>
      </c>
      <c r="B97" s="18" t="s">
        <v>53</v>
      </c>
      <c r="C97" s="2" t="str">
        <f aca="false">VLOOKUP(B97,Targets!$A$2:$D$43,2,FALSE())</f>
        <v>South</v>
      </c>
      <c r="D97" s="19" t="n">
        <v>2400</v>
      </c>
      <c r="E97" s="19" t="n">
        <v>1875</v>
      </c>
      <c r="F97" s="20" t="n">
        <f aca="false">E97-D97</f>
        <v>-525</v>
      </c>
      <c r="G97" s="21" t="n">
        <f aca="false">IF(D97=0,0,F97/D97)</f>
        <v>-0.21875</v>
      </c>
      <c r="H97" s="21" t="n">
        <f aca="false">IF(D97=0,0,E97/D97)</f>
        <v>0.78125</v>
      </c>
      <c r="I97" s="21" t="n">
        <f aca="false">VLOOKUP(B97,Targets!$A$2:$D$43,3,FALSE())</f>
        <v>0.92</v>
      </c>
      <c r="J97" s="22" t="n">
        <f aca="false">H97-I97</f>
        <v>-0.13875</v>
      </c>
      <c r="K97" s="2" t="str">
        <f aca="false">IF(J97&lt;-Targets!$F$2,"Under",IF(J97&gt;Targets!$F$2,"Over","On Track"))</f>
        <v>Under</v>
      </c>
    </row>
    <row r="98" customFormat="false" ht="15" hidden="false" customHeight="false" outlineLevel="0" collapsed="false">
      <c r="A98" s="17" t="n">
        <v>46082</v>
      </c>
      <c r="B98" s="18" t="s">
        <v>54</v>
      </c>
      <c r="C98" s="2" t="str">
        <f aca="false">VLOOKUP(B98,Targets!$A$2:$D$43,2,FALSE())</f>
        <v>South</v>
      </c>
      <c r="D98" s="19" t="n">
        <v>3150</v>
      </c>
      <c r="E98" s="19" t="n">
        <v>2763</v>
      </c>
      <c r="F98" s="20" t="n">
        <f aca="false">E98-D98</f>
        <v>-387</v>
      </c>
      <c r="G98" s="21" t="n">
        <f aca="false">IF(D98=0,0,F98/D98)</f>
        <v>-0.122857142857143</v>
      </c>
      <c r="H98" s="21" t="n">
        <f aca="false">IF(D98=0,0,E98/D98)</f>
        <v>0.877142857142857</v>
      </c>
      <c r="I98" s="21" t="n">
        <f aca="false">VLOOKUP(B98,Targets!$A$2:$D$43,3,FALSE())</f>
        <v>0.9</v>
      </c>
      <c r="J98" s="22" t="n">
        <f aca="false">H98-I98</f>
        <v>-0.0228571428571429</v>
      </c>
      <c r="K98" s="2" t="str">
        <f aca="false">IF(J98&lt;-Targets!$F$2,"Under",IF(J98&gt;Targets!$F$2,"Over","On Track"))</f>
        <v>On Track</v>
      </c>
    </row>
    <row r="99" customFormat="false" ht="15" hidden="false" customHeight="false" outlineLevel="0" collapsed="false">
      <c r="A99" s="17" t="n">
        <v>46082</v>
      </c>
      <c r="B99" s="18" t="s">
        <v>55</v>
      </c>
      <c r="C99" s="2" t="str">
        <f aca="false">VLOOKUP(B99,Targets!$A$2:$D$43,2,FALSE())</f>
        <v>South</v>
      </c>
      <c r="D99" s="19" t="n">
        <v>1350</v>
      </c>
      <c r="E99" s="19" t="n">
        <v>1084</v>
      </c>
      <c r="F99" s="20" t="n">
        <f aca="false">E99-D99</f>
        <v>-266</v>
      </c>
      <c r="G99" s="21" t="n">
        <f aca="false">IF(D99=0,0,F99/D99)</f>
        <v>-0.197037037037037</v>
      </c>
      <c r="H99" s="21" t="n">
        <f aca="false">IF(D99=0,0,E99/D99)</f>
        <v>0.802962962962963</v>
      </c>
      <c r="I99" s="21" t="n">
        <f aca="false">VLOOKUP(B99,Targets!$A$2:$D$43,3,FALSE())</f>
        <v>0.92</v>
      </c>
      <c r="J99" s="22" t="n">
        <f aca="false">H99-I99</f>
        <v>-0.117037037037037</v>
      </c>
      <c r="K99" s="2" t="str">
        <f aca="false">IF(J99&lt;-Targets!$F$2,"Under",IF(J99&gt;Targets!$F$2,"Over","On Track"))</f>
        <v>Under</v>
      </c>
    </row>
    <row r="100" customFormat="false" ht="15" hidden="false" customHeight="false" outlineLevel="0" collapsed="false">
      <c r="A100" s="17" t="n">
        <v>46082</v>
      </c>
      <c r="B100" s="18" t="s">
        <v>56</v>
      </c>
      <c r="C100" s="2" t="str">
        <f aca="false">VLOOKUP(B100,Targets!$A$2:$D$43,2,FALSE())</f>
        <v>East</v>
      </c>
      <c r="D100" s="19" t="n">
        <v>2850</v>
      </c>
      <c r="E100" s="19" t="n">
        <v>2611</v>
      </c>
      <c r="F100" s="20" t="n">
        <f aca="false">E100-D100</f>
        <v>-239</v>
      </c>
      <c r="G100" s="21" t="n">
        <f aca="false">IF(D100=0,0,F100/D100)</f>
        <v>-0.083859649122807</v>
      </c>
      <c r="H100" s="21" t="n">
        <f aca="false">IF(D100=0,0,E100/D100)</f>
        <v>0.916140350877193</v>
      </c>
      <c r="I100" s="21" t="n">
        <f aca="false">VLOOKUP(B100,Targets!$A$2:$D$43,3,FALSE())</f>
        <v>0.92</v>
      </c>
      <c r="J100" s="22" t="n">
        <f aca="false">H100-I100</f>
        <v>-0.00385964912280701</v>
      </c>
      <c r="K100" s="2" t="str">
        <f aca="false">IF(J100&lt;-Targets!$F$2,"Under",IF(J100&gt;Targets!$F$2,"Over","On Track"))</f>
        <v>On Track</v>
      </c>
    </row>
    <row r="101" customFormat="false" ht="15" hidden="false" customHeight="false" outlineLevel="0" collapsed="false">
      <c r="A101" s="17" t="n">
        <v>46082</v>
      </c>
      <c r="B101" s="18" t="s">
        <v>57</v>
      </c>
      <c r="C101" s="2" t="str">
        <f aca="false">VLOOKUP(B101,Targets!$A$2:$D$43,2,FALSE())</f>
        <v>East</v>
      </c>
      <c r="D101" s="19" t="n">
        <v>2500</v>
      </c>
      <c r="E101" s="19" t="n">
        <v>2239</v>
      </c>
      <c r="F101" s="20" t="n">
        <f aca="false">E101-D101</f>
        <v>-261</v>
      </c>
      <c r="G101" s="21" t="n">
        <f aca="false">IF(D101=0,0,F101/D101)</f>
        <v>-0.1044</v>
      </c>
      <c r="H101" s="21" t="n">
        <f aca="false">IF(D101=0,0,E101/D101)</f>
        <v>0.8956</v>
      </c>
      <c r="I101" s="21" t="n">
        <f aca="false">VLOOKUP(B101,Targets!$A$2:$D$43,3,FALSE())</f>
        <v>0.88</v>
      </c>
      <c r="J101" s="22" t="n">
        <f aca="false">H101-I101</f>
        <v>0.0155999999999999</v>
      </c>
      <c r="K101" s="2" t="str">
        <f aca="false">IF(J101&lt;-Targets!$F$2,"Under",IF(J101&gt;Targets!$F$2,"Over","On Track"))</f>
        <v>On Track</v>
      </c>
    </row>
    <row r="102" customFormat="false" ht="15" hidden="false" customHeight="false" outlineLevel="0" collapsed="false">
      <c r="A102" s="17" t="n">
        <v>46082</v>
      </c>
      <c r="B102" s="18" t="s">
        <v>58</v>
      </c>
      <c r="C102" s="2" t="str">
        <f aca="false">VLOOKUP(B102,Targets!$A$2:$D$43,2,FALSE())</f>
        <v>East</v>
      </c>
      <c r="D102" s="19" t="n">
        <v>1400</v>
      </c>
      <c r="E102" s="19" t="n">
        <v>1226</v>
      </c>
      <c r="F102" s="20" t="n">
        <f aca="false">E102-D102</f>
        <v>-174</v>
      </c>
      <c r="G102" s="21" t="n">
        <f aca="false">IF(D102=0,0,F102/D102)</f>
        <v>-0.124285714285714</v>
      </c>
      <c r="H102" s="21" t="n">
        <f aca="false">IF(D102=0,0,E102/D102)</f>
        <v>0.875714285714286</v>
      </c>
      <c r="I102" s="21" t="n">
        <f aca="false">VLOOKUP(B102,Targets!$A$2:$D$43,3,FALSE())</f>
        <v>0.92</v>
      </c>
      <c r="J102" s="22" t="n">
        <f aca="false">H102-I102</f>
        <v>-0.0442857142857144</v>
      </c>
      <c r="K102" s="2" t="str">
        <f aca="false">IF(J102&lt;-Targets!$F$2,"Under",IF(J102&gt;Targets!$F$2,"Over","On Track"))</f>
        <v>On Track</v>
      </c>
    </row>
    <row r="103" customFormat="false" ht="15" hidden="false" customHeight="false" outlineLevel="0" collapsed="false">
      <c r="A103" s="17" t="n">
        <v>46082</v>
      </c>
      <c r="B103" s="18" t="s">
        <v>59</v>
      </c>
      <c r="C103" s="2" t="str">
        <f aca="false">VLOOKUP(B103,Targets!$A$2:$D$43,2,FALSE())</f>
        <v>East</v>
      </c>
      <c r="D103" s="19" t="n">
        <v>1300</v>
      </c>
      <c r="E103" s="19" t="n">
        <v>1156</v>
      </c>
      <c r="F103" s="20" t="n">
        <f aca="false">E103-D103</f>
        <v>-144</v>
      </c>
      <c r="G103" s="21" t="n">
        <f aca="false">IF(D103=0,0,F103/D103)</f>
        <v>-0.110769230769231</v>
      </c>
      <c r="H103" s="21" t="n">
        <f aca="false">IF(D103=0,0,E103/D103)</f>
        <v>0.889230769230769</v>
      </c>
      <c r="I103" s="21" t="n">
        <f aca="false">VLOOKUP(B103,Targets!$A$2:$D$43,3,FALSE())</f>
        <v>0.88</v>
      </c>
      <c r="J103" s="22" t="n">
        <f aca="false">H103-I103</f>
        <v>0.00923076923076927</v>
      </c>
      <c r="K103" s="2" t="str">
        <f aca="false">IF(J103&lt;-Targets!$F$2,"Under",IF(J103&gt;Targets!$F$2,"Over","On Track"))</f>
        <v>On Track</v>
      </c>
    </row>
    <row r="104" customFormat="false" ht="15" hidden="false" customHeight="false" outlineLevel="0" collapsed="false">
      <c r="A104" s="17" t="n">
        <v>46082</v>
      </c>
      <c r="B104" s="18" t="s">
        <v>60</v>
      </c>
      <c r="C104" s="2" t="str">
        <f aca="false">VLOOKUP(B104,Targets!$A$2:$D$43,2,FALSE())</f>
        <v>East</v>
      </c>
      <c r="D104" s="19" t="n">
        <v>3050</v>
      </c>
      <c r="E104" s="19" t="n">
        <v>2656</v>
      </c>
      <c r="F104" s="20" t="n">
        <f aca="false">E104-D104</f>
        <v>-394</v>
      </c>
      <c r="G104" s="21" t="n">
        <f aca="false">IF(D104=0,0,F104/D104)</f>
        <v>-0.129180327868852</v>
      </c>
      <c r="H104" s="21" t="n">
        <f aca="false">IF(D104=0,0,E104/D104)</f>
        <v>0.870819672131148</v>
      </c>
      <c r="I104" s="21" t="n">
        <f aca="false">VLOOKUP(B104,Targets!$A$2:$D$43,3,FALSE())</f>
        <v>0.88</v>
      </c>
      <c r="J104" s="22" t="n">
        <f aca="false">H104-I104</f>
        <v>-0.00918032786885248</v>
      </c>
      <c r="K104" s="2" t="str">
        <f aca="false">IF(J104&lt;-Targets!$F$2,"Under",IF(J104&gt;Targets!$F$2,"Over","On Track"))</f>
        <v>On Track</v>
      </c>
    </row>
    <row r="105" customFormat="false" ht="15" hidden="false" customHeight="false" outlineLevel="0" collapsed="false">
      <c r="A105" s="17" t="n">
        <v>46082</v>
      </c>
      <c r="B105" s="18" t="s">
        <v>61</v>
      </c>
      <c r="C105" s="2" t="str">
        <f aca="false">VLOOKUP(B105,Targets!$A$2:$D$43,2,FALSE())</f>
        <v>East</v>
      </c>
      <c r="D105" s="19" t="n">
        <v>1650</v>
      </c>
      <c r="E105" s="19" t="n">
        <v>1477</v>
      </c>
      <c r="F105" s="20" t="n">
        <f aca="false">E105-D105</f>
        <v>-173</v>
      </c>
      <c r="G105" s="21" t="n">
        <f aca="false">IF(D105=0,0,F105/D105)</f>
        <v>-0.104848484848485</v>
      </c>
      <c r="H105" s="21" t="n">
        <f aca="false">IF(D105=0,0,E105/D105)</f>
        <v>0.895151515151515</v>
      </c>
      <c r="I105" s="21" t="n">
        <f aca="false">VLOOKUP(B105,Targets!$A$2:$D$43,3,FALSE())</f>
        <v>0.88</v>
      </c>
      <c r="J105" s="22" t="n">
        <f aca="false">H105-I105</f>
        <v>0.0151515151515151</v>
      </c>
      <c r="K105" s="2" t="str">
        <f aca="false">IF(J105&lt;-Targets!$F$2,"Under",IF(J105&gt;Targets!$F$2,"Over","On Track"))</f>
        <v>On Track</v>
      </c>
    </row>
    <row r="106" customFormat="false" ht="15" hidden="false" customHeight="false" outlineLevel="0" collapsed="false">
      <c r="A106" s="17" t="n">
        <v>46082</v>
      </c>
      <c r="B106" s="18" t="s">
        <v>62</v>
      </c>
      <c r="C106" s="2" t="str">
        <f aca="false">VLOOKUP(B106,Targets!$A$2:$D$43,2,FALSE())</f>
        <v>East</v>
      </c>
      <c r="D106" s="19" t="n">
        <v>1900</v>
      </c>
      <c r="E106" s="19" t="n">
        <v>1650</v>
      </c>
      <c r="F106" s="20" t="n">
        <f aca="false">E106-D106</f>
        <v>-250</v>
      </c>
      <c r="G106" s="21" t="n">
        <f aca="false">IF(D106=0,0,F106/D106)</f>
        <v>-0.131578947368421</v>
      </c>
      <c r="H106" s="21" t="n">
        <f aca="false">IF(D106=0,0,E106/D106)</f>
        <v>0.868421052631579</v>
      </c>
      <c r="I106" s="21" t="n">
        <f aca="false">VLOOKUP(B106,Targets!$A$2:$D$43,3,FALSE())</f>
        <v>0.92</v>
      </c>
      <c r="J106" s="22" t="n">
        <f aca="false">H106-I106</f>
        <v>-0.0515789473684211</v>
      </c>
      <c r="K106" s="2" t="str">
        <f aca="false">IF(J106&lt;-Targets!$F$2,"Under",IF(J106&gt;Targets!$F$2,"Over","On Track"))</f>
        <v>Under</v>
      </c>
    </row>
    <row r="107" customFormat="false" ht="15" hidden="false" customHeight="false" outlineLevel="0" collapsed="false">
      <c r="A107" s="17" t="n">
        <v>46082</v>
      </c>
      <c r="B107" s="18" t="s">
        <v>63</v>
      </c>
      <c r="C107" s="2" t="str">
        <f aca="false">VLOOKUP(B107,Targets!$A$2:$D$43,2,FALSE())</f>
        <v>West</v>
      </c>
      <c r="D107" s="19" t="n">
        <v>2400</v>
      </c>
      <c r="E107" s="19" t="n">
        <v>1963</v>
      </c>
      <c r="F107" s="20" t="n">
        <f aca="false">E107-D107</f>
        <v>-437</v>
      </c>
      <c r="G107" s="21" t="n">
        <f aca="false">IF(D107=0,0,F107/D107)</f>
        <v>-0.182083333333333</v>
      </c>
      <c r="H107" s="21" t="n">
        <f aca="false">IF(D107=0,0,E107/D107)</f>
        <v>0.817916666666667</v>
      </c>
      <c r="I107" s="21" t="n">
        <f aca="false">VLOOKUP(B107,Targets!$A$2:$D$43,3,FALSE())</f>
        <v>0.85</v>
      </c>
      <c r="J107" s="22" t="n">
        <f aca="false">H107-I107</f>
        <v>-0.0320833333333334</v>
      </c>
      <c r="K107" s="2" t="str">
        <f aca="false">IF(J107&lt;-Targets!$F$2,"Under",IF(J107&gt;Targets!$F$2,"Over","On Track"))</f>
        <v>On Track</v>
      </c>
    </row>
    <row r="108" customFormat="false" ht="15" hidden="false" customHeight="false" outlineLevel="0" collapsed="false">
      <c r="A108" s="17" t="n">
        <v>46082</v>
      </c>
      <c r="B108" s="18" t="s">
        <v>64</v>
      </c>
      <c r="C108" s="2" t="str">
        <f aca="false">VLOOKUP(B108,Targets!$A$2:$D$43,2,FALSE())</f>
        <v>West</v>
      </c>
      <c r="D108" s="19" t="n">
        <v>1900</v>
      </c>
      <c r="E108" s="19" t="n">
        <v>1727</v>
      </c>
      <c r="F108" s="20" t="n">
        <f aca="false">E108-D108</f>
        <v>-173</v>
      </c>
      <c r="G108" s="21" t="n">
        <f aca="false">IF(D108=0,0,F108/D108)</f>
        <v>-0.0910526315789474</v>
      </c>
      <c r="H108" s="21" t="n">
        <f aca="false">IF(D108=0,0,E108/D108)</f>
        <v>0.908947368421053</v>
      </c>
      <c r="I108" s="21" t="n">
        <f aca="false">VLOOKUP(B108,Targets!$A$2:$D$43,3,FALSE())</f>
        <v>0.92</v>
      </c>
      <c r="J108" s="22" t="n">
        <f aca="false">H108-I108</f>
        <v>-0.0110526315789474</v>
      </c>
      <c r="K108" s="2" t="str">
        <f aca="false">IF(J108&lt;-Targets!$F$2,"Under",IF(J108&gt;Targets!$F$2,"Over","On Track"))</f>
        <v>On Track</v>
      </c>
    </row>
    <row r="109" customFormat="false" ht="15" hidden="false" customHeight="false" outlineLevel="0" collapsed="false">
      <c r="A109" s="17" t="n">
        <v>46082</v>
      </c>
      <c r="B109" s="18" t="s">
        <v>65</v>
      </c>
      <c r="C109" s="2" t="str">
        <f aca="false">VLOOKUP(B109,Targets!$A$2:$D$43,2,FALSE())</f>
        <v>West</v>
      </c>
      <c r="D109" s="19" t="n">
        <v>900</v>
      </c>
      <c r="E109" s="19" t="n">
        <v>839</v>
      </c>
      <c r="F109" s="20" t="n">
        <f aca="false">E109-D109</f>
        <v>-61</v>
      </c>
      <c r="G109" s="21" t="n">
        <f aca="false">IF(D109=0,0,F109/D109)</f>
        <v>-0.0677777777777778</v>
      </c>
      <c r="H109" s="21" t="n">
        <f aca="false">IF(D109=0,0,E109/D109)</f>
        <v>0.932222222222222</v>
      </c>
      <c r="I109" s="21" t="n">
        <f aca="false">VLOOKUP(B109,Targets!$A$2:$D$43,3,FALSE())</f>
        <v>0.92</v>
      </c>
      <c r="J109" s="22" t="n">
        <f aca="false">H109-I109</f>
        <v>0.0122222222222221</v>
      </c>
      <c r="K109" s="2" t="str">
        <f aca="false">IF(J109&lt;-Targets!$F$2,"Under",IF(J109&gt;Targets!$F$2,"Over","On Track"))</f>
        <v>On Track</v>
      </c>
    </row>
    <row r="110" customFormat="false" ht="15" hidden="false" customHeight="false" outlineLevel="0" collapsed="false">
      <c r="A110" s="17" t="n">
        <v>46082</v>
      </c>
      <c r="B110" s="18" t="s">
        <v>66</v>
      </c>
      <c r="C110" s="2" t="str">
        <f aca="false">VLOOKUP(B110,Targets!$A$2:$D$43,2,FALSE())</f>
        <v>West</v>
      </c>
      <c r="D110" s="19" t="n">
        <v>1450</v>
      </c>
      <c r="E110" s="19" t="n">
        <v>1431</v>
      </c>
      <c r="F110" s="20" t="n">
        <f aca="false">E110-D110</f>
        <v>-19</v>
      </c>
      <c r="G110" s="21" t="n">
        <f aca="false">IF(D110=0,0,F110/D110)</f>
        <v>-0.0131034482758621</v>
      </c>
      <c r="H110" s="21" t="n">
        <f aca="false">IF(D110=0,0,E110/D110)</f>
        <v>0.986896551724138</v>
      </c>
      <c r="I110" s="21" t="n">
        <f aca="false">VLOOKUP(B110,Targets!$A$2:$D$43,3,FALSE())</f>
        <v>0.92</v>
      </c>
      <c r="J110" s="22" t="n">
        <f aca="false">H110-I110</f>
        <v>0.0668965517241379</v>
      </c>
      <c r="K110" s="2" t="str">
        <f aca="false">IF(J110&lt;-Targets!$F$2,"Under",IF(J110&gt;Targets!$F$2,"Over","On Track"))</f>
        <v>Over</v>
      </c>
    </row>
    <row r="111" customFormat="false" ht="15" hidden="false" customHeight="false" outlineLevel="0" collapsed="false">
      <c r="A111" s="17" t="n">
        <v>46082</v>
      </c>
      <c r="B111" s="18" t="s">
        <v>67</v>
      </c>
      <c r="C111" s="2" t="str">
        <f aca="false">VLOOKUP(B111,Targets!$A$2:$D$43,2,FALSE())</f>
        <v>West</v>
      </c>
      <c r="D111" s="19" t="n">
        <v>1950</v>
      </c>
      <c r="E111" s="19" t="n">
        <v>1852</v>
      </c>
      <c r="F111" s="20" t="n">
        <f aca="false">E111-D111</f>
        <v>-98</v>
      </c>
      <c r="G111" s="21" t="n">
        <f aca="false">IF(D111=0,0,F111/D111)</f>
        <v>-0.0502564102564103</v>
      </c>
      <c r="H111" s="21" t="n">
        <f aca="false">IF(D111=0,0,E111/D111)</f>
        <v>0.94974358974359</v>
      </c>
      <c r="I111" s="21" t="n">
        <f aca="false">VLOOKUP(B111,Targets!$A$2:$D$43,3,FALSE())</f>
        <v>0.92</v>
      </c>
      <c r="J111" s="22" t="n">
        <f aca="false">H111-I111</f>
        <v>0.0297435897435897</v>
      </c>
      <c r="K111" s="2" t="str">
        <f aca="false">IF(J111&lt;-Targets!$F$2,"Under",IF(J111&gt;Targets!$F$2,"Over","On Track"))</f>
        <v>On Track</v>
      </c>
    </row>
    <row r="112" customFormat="false" ht="15" hidden="false" customHeight="false" outlineLevel="0" collapsed="false">
      <c r="A112" s="17" t="n">
        <v>46082</v>
      </c>
      <c r="B112" s="18" t="s">
        <v>68</v>
      </c>
      <c r="C112" s="2" t="str">
        <f aca="false">VLOOKUP(B112,Targets!$A$2:$D$43,2,FALSE())</f>
        <v>West</v>
      </c>
      <c r="D112" s="19" t="n">
        <v>2650</v>
      </c>
      <c r="E112" s="19" t="n">
        <v>2438</v>
      </c>
      <c r="F112" s="20" t="n">
        <f aca="false">E112-D112</f>
        <v>-212</v>
      </c>
      <c r="G112" s="21" t="n">
        <f aca="false">IF(D112=0,0,F112/D112)</f>
        <v>-0.08</v>
      </c>
      <c r="H112" s="21" t="n">
        <f aca="false">IF(D112=0,0,E112/D112)</f>
        <v>0.92</v>
      </c>
      <c r="I112" s="21" t="n">
        <f aca="false">VLOOKUP(B112,Targets!$A$2:$D$43,3,FALSE())</f>
        <v>0.9</v>
      </c>
      <c r="J112" s="22" t="n">
        <f aca="false">H112-I112</f>
        <v>0.02</v>
      </c>
      <c r="K112" s="2" t="str">
        <f aca="false">IF(J112&lt;-Targets!$F$2,"Under",IF(J112&gt;Targets!$F$2,"Over","On Track"))</f>
        <v>On Track</v>
      </c>
    </row>
    <row r="113" customFormat="false" ht="15" hidden="false" customHeight="false" outlineLevel="0" collapsed="false">
      <c r="A113" s="17" t="n">
        <v>46082</v>
      </c>
      <c r="B113" s="18" t="s">
        <v>69</v>
      </c>
      <c r="C113" s="2" t="str">
        <f aca="false">VLOOKUP(B113,Targets!$A$2:$D$43,2,FALSE())</f>
        <v>West</v>
      </c>
      <c r="D113" s="19" t="n">
        <v>2250</v>
      </c>
      <c r="E113" s="19" t="n">
        <v>2140</v>
      </c>
      <c r="F113" s="20" t="n">
        <f aca="false">E113-D113</f>
        <v>-110</v>
      </c>
      <c r="G113" s="21" t="n">
        <f aca="false">IF(D113=0,0,F113/D113)</f>
        <v>-0.0488888888888889</v>
      </c>
      <c r="H113" s="21" t="n">
        <f aca="false">IF(D113=0,0,E113/D113)</f>
        <v>0.951111111111111</v>
      </c>
      <c r="I113" s="21" t="n">
        <f aca="false">VLOOKUP(B113,Targets!$A$2:$D$43,3,FALSE())</f>
        <v>0.92</v>
      </c>
      <c r="J113" s="22" t="n">
        <f aca="false">H113-I113</f>
        <v>0.0311111111111111</v>
      </c>
      <c r="K113" s="2" t="str">
        <f aca="false">IF(J113&lt;-Targets!$F$2,"Under",IF(J113&gt;Targets!$F$2,"Over","On Track"))</f>
        <v>On Track</v>
      </c>
    </row>
    <row r="114" customFormat="false" ht="15" hidden="false" customHeight="false" outlineLevel="0" collapsed="false">
      <c r="A114" s="17" t="n">
        <v>46082</v>
      </c>
      <c r="B114" s="18" t="s">
        <v>70</v>
      </c>
      <c r="C114" s="2" t="str">
        <f aca="false">VLOOKUP(B114,Targets!$A$2:$D$43,2,FALSE())</f>
        <v>Central</v>
      </c>
      <c r="D114" s="19" t="n">
        <v>1850</v>
      </c>
      <c r="E114" s="19" t="n">
        <v>1693</v>
      </c>
      <c r="F114" s="20" t="n">
        <f aca="false">E114-D114</f>
        <v>-157</v>
      </c>
      <c r="G114" s="21" t="n">
        <f aca="false">IF(D114=0,0,F114/D114)</f>
        <v>-0.0848648648648649</v>
      </c>
      <c r="H114" s="21" t="n">
        <f aca="false">IF(D114=0,0,E114/D114)</f>
        <v>0.915135135135135</v>
      </c>
      <c r="I114" s="21" t="n">
        <f aca="false">VLOOKUP(B114,Targets!$A$2:$D$43,3,FALSE())</f>
        <v>0.9</v>
      </c>
      <c r="J114" s="22" t="n">
        <f aca="false">H114-I114</f>
        <v>0.0151351351351351</v>
      </c>
      <c r="K114" s="2" t="str">
        <f aca="false">IF(J114&lt;-Targets!$F$2,"Under",IF(J114&gt;Targets!$F$2,"Over","On Track"))</f>
        <v>On Track</v>
      </c>
    </row>
    <row r="115" customFormat="false" ht="15" hidden="false" customHeight="false" outlineLevel="0" collapsed="false">
      <c r="A115" s="17" t="n">
        <v>46082</v>
      </c>
      <c r="B115" s="18" t="s">
        <v>71</v>
      </c>
      <c r="C115" s="2" t="str">
        <f aca="false">VLOOKUP(B115,Targets!$A$2:$D$43,2,FALSE())</f>
        <v>Central</v>
      </c>
      <c r="D115" s="19" t="n">
        <v>1300</v>
      </c>
      <c r="E115" s="19" t="n">
        <v>1016</v>
      </c>
      <c r="F115" s="20" t="n">
        <f aca="false">E115-D115</f>
        <v>-284</v>
      </c>
      <c r="G115" s="21" t="n">
        <f aca="false">IF(D115=0,0,F115/D115)</f>
        <v>-0.218461538461538</v>
      </c>
      <c r="H115" s="21" t="n">
        <f aca="false">IF(D115=0,0,E115/D115)</f>
        <v>0.781538461538462</v>
      </c>
      <c r="I115" s="21" t="n">
        <f aca="false">VLOOKUP(B115,Targets!$A$2:$D$43,3,FALSE())</f>
        <v>0.85</v>
      </c>
      <c r="J115" s="22" t="n">
        <f aca="false">H115-I115</f>
        <v>-0.0684615384615385</v>
      </c>
      <c r="K115" s="2" t="str">
        <f aca="false">IF(J115&lt;-Targets!$F$2,"Under",IF(J115&gt;Targets!$F$2,"Over","On Track"))</f>
        <v>Under</v>
      </c>
    </row>
    <row r="116" customFormat="false" ht="15" hidden="false" customHeight="false" outlineLevel="0" collapsed="false">
      <c r="A116" s="17" t="n">
        <v>46082</v>
      </c>
      <c r="B116" s="18" t="s">
        <v>72</v>
      </c>
      <c r="C116" s="2" t="str">
        <f aca="false">VLOOKUP(B116,Targets!$A$2:$D$43,2,FALSE())</f>
        <v>Central</v>
      </c>
      <c r="D116" s="19" t="n">
        <v>2700</v>
      </c>
      <c r="E116" s="19" t="n">
        <v>2391</v>
      </c>
      <c r="F116" s="20" t="n">
        <f aca="false">E116-D116</f>
        <v>-309</v>
      </c>
      <c r="G116" s="21" t="n">
        <f aca="false">IF(D116=0,0,F116/D116)</f>
        <v>-0.114444444444444</v>
      </c>
      <c r="H116" s="21" t="n">
        <f aca="false">IF(D116=0,0,E116/D116)</f>
        <v>0.885555555555556</v>
      </c>
      <c r="I116" s="21" t="n">
        <f aca="false">VLOOKUP(B116,Targets!$A$2:$D$43,3,FALSE())</f>
        <v>0.85</v>
      </c>
      <c r="J116" s="22" t="n">
        <f aca="false">H116-I116</f>
        <v>0.0355555555555556</v>
      </c>
      <c r="K116" s="2" t="str">
        <f aca="false">IF(J116&lt;-Targets!$F$2,"Under",IF(J116&gt;Targets!$F$2,"Over","On Track"))</f>
        <v>On Track</v>
      </c>
    </row>
    <row r="117" customFormat="false" ht="15" hidden="false" customHeight="false" outlineLevel="0" collapsed="false">
      <c r="A117" s="17" t="n">
        <v>46082</v>
      </c>
      <c r="B117" s="18" t="s">
        <v>73</v>
      </c>
      <c r="C117" s="2" t="str">
        <f aca="false">VLOOKUP(B117,Targets!$A$2:$D$43,2,FALSE())</f>
        <v>Central</v>
      </c>
      <c r="D117" s="19" t="n">
        <v>1300</v>
      </c>
      <c r="E117" s="19" t="n">
        <v>973</v>
      </c>
      <c r="F117" s="20" t="n">
        <f aca="false">E117-D117</f>
        <v>-327</v>
      </c>
      <c r="G117" s="21" t="n">
        <f aca="false">IF(D117=0,0,F117/D117)</f>
        <v>-0.251538461538462</v>
      </c>
      <c r="H117" s="21" t="n">
        <f aca="false">IF(D117=0,0,E117/D117)</f>
        <v>0.748461538461539</v>
      </c>
      <c r="I117" s="21" t="n">
        <f aca="false">VLOOKUP(B117,Targets!$A$2:$D$43,3,FALSE())</f>
        <v>0.85</v>
      </c>
      <c r="J117" s="22" t="n">
        <f aca="false">H117-I117</f>
        <v>-0.101538461538461</v>
      </c>
      <c r="K117" s="2" t="str">
        <f aca="false">IF(J117&lt;-Targets!$F$2,"Under",IF(J117&gt;Targets!$F$2,"Over","On Track"))</f>
        <v>Under</v>
      </c>
    </row>
    <row r="118" customFormat="false" ht="15" hidden="false" customHeight="false" outlineLevel="0" collapsed="false">
      <c r="A118" s="17" t="n">
        <v>46082</v>
      </c>
      <c r="B118" s="18" t="s">
        <v>74</v>
      </c>
      <c r="C118" s="2" t="str">
        <f aca="false">VLOOKUP(B118,Targets!$A$2:$D$43,2,FALSE())</f>
        <v>Central</v>
      </c>
      <c r="D118" s="19" t="n">
        <v>2550</v>
      </c>
      <c r="E118" s="19" t="n">
        <v>1990</v>
      </c>
      <c r="F118" s="20" t="n">
        <f aca="false">E118-D118</f>
        <v>-560</v>
      </c>
      <c r="G118" s="21" t="n">
        <f aca="false">IF(D118=0,0,F118/D118)</f>
        <v>-0.219607843137255</v>
      </c>
      <c r="H118" s="21" t="n">
        <f aca="false">IF(D118=0,0,E118/D118)</f>
        <v>0.780392156862745</v>
      </c>
      <c r="I118" s="21" t="n">
        <f aca="false">VLOOKUP(B118,Targets!$A$2:$D$43,3,FALSE())</f>
        <v>0.85</v>
      </c>
      <c r="J118" s="22" t="n">
        <f aca="false">H118-I118</f>
        <v>-0.0696078431372549</v>
      </c>
      <c r="K118" s="2" t="str">
        <f aca="false">IF(J118&lt;-Targets!$F$2,"Under",IF(J118&gt;Targets!$F$2,"Over","On Track"))</f>
        <v>Under</v>
      </c>
    </row>
    <row r="119" customFormat="false" ht="15" hidden="false" customHeight="false" outlineLevel="0" collapsed="false">
      <c r="A119" s="17" t="n">
        <v>46082</v>
      </c>
      <c r="B119" s="18" t="s">
        <v>75</v>
      </c>
      <c r="C119" s="2" t="str">
        <f aca="false">VLOOKUP(B119,Targets!$A$2:$D$43,2,FALSE())</f>
        <v>Central</v>
      </c>
      <c r="D119" s="19" t="n">
        <v>2000</v>
      </c>
      <c r="E119" s="19" t="n">
        <v>1766</v>
      </c>
      <c r="F119" s="20" t="n">
        <f aca="false">E119-D119</f>
        <v>-234</v>
      </c>
      <c r="G119" s="21" t="n">
        <f aca="false">IF(D119=0,0,F119/D119)</f>
        <v>-0.117</v>
      </c>
      <c r="H119" s="21" t="n">
        <f aca="false">IF(D119=0,0,E119/D119)</f>
        <v>0.883</v>
      </c>
      <c r="I119" s="21" t="n">
        <f aca="false">VLOOKUP(B119,Targets!$A$2:$D$43,3,FALSE())</f>
        <v>0.88</v>
      </c>
      <c r="J119" s="22" t="n">
        <f aca="false">H119-I119</f>
        <v>0.003</v>
      </c>
      <c r="K119" s="2" t="str">
        <f aca="false">IF(J119&lt;-Targets!$F$2,"Under",IF(J119&gt;Targets!$F$2,"Over","On Track"))</f>
        <v>On Track</v>
      </c>
    </row>
    <row r="120" customFormat="false" ht="15" hidden="false" customHeight="false" outlineLevel="0" collapsed="false">
      <c r="A120" s="17" t="n">
        <v>46082</v>
      </c>
      <c r="B120" s="18" t="s">
        <v>76</v>
      </c>
      <c r="C120" s="2" t="str">
        <f aca="false">VLOOKUP(B120,Targets!$A$2:$D$43,2,FALSE())</f>
        <v>Central</v>
      </c>
      <c r="D120" s="19" t="n">
        <v>2150</v>
      </c>
      <c r="E120" s="19" t="n">
        <v>1905</v>
      </c>
      <c r="F120" s="20" t="n">
        <f aca="false">E120-D120</f>
        <v>-245</v>
      </c>
      <c r="G120" s="21" t="n">
        <f aca="false">IF(D120=0,0,F120/D120)</f>
        <v>-0.113953488372093</v>
      </c>
      <c r="H120" s="21" t="n">
        <f aca="false">IF(D120=0,0,E120/D120)</f>
        <v>0.886046511627907</v>
      </c>
      <c r="I120" s="21" t="n">
        <f aca="false">VLOOKUP(B120,Targets!$A$2:$D$43,3,FALSE())</f>
        <v>0.9</v>
      </c>
      <c r="J120" s="22" t="n">
        <f aca="false">H120-I120</f>
        <v>-0.0139534883720931</v>
      </c>
      <c r="K120" s="2" t="str">
        <f aca="false">IF(J120&lt;-Targets!$F$2,"Under",IF(J120&gt;Targets!$F$2,"Over","On Track"))</f>
        <v>On Track</v>
      </c>
    </row>
    <row r="121" customFormat="false" ht="15" hidden="false" customHeight="false" outlineLevel="0" collapsed="false">
      <c r="A121" s="17" t="n">
        <v>46082</v>
      </c>
      <c r="B121" s="18" t="s">
        <v>77</v>
      </c>
      <c r="C121" s="2" t="str">
        <f aca="false">VLOOKUP(B121,Targets!$A$2:$D$43,2,FALSE())</f>
        <v>North-East</v>
      </c>
      <c r="D121" s="19" t="n">
        <v>1750</v>
      </c>
      <c r="E121" s="19" t="n">
        <v>1343</v>
      </c>
      <c r="F121" s="20" t="n">
        <f aca="false">E121-D121</f>
        <v>-407</v>
      </c>
      <c r="G121" s="21" t="n">
        <f aca="false">IF(D121=0,0,F121/D121)</f>
        <v>-0.232571428571429</v>
      </c>
      <c r="H121" s="21" t="n">
        <f aca="false">IF(D121=0,0,E121/D121)</f>
        <v>0.767428571428572</v>
      </c>
      <c r="I121" s="21" t="n">
        <f aca="false">VLOOKUP(B121,Targets!$A$2:$D$43,3,FALSE())</f>
        <v>0.88</v>
      </c>
      <c r="J121" s="22" t="n">
        <f aca="false">H121-I121</f>
        <v>-0.112571428571429</v>
      </c>
      <c r="K121" s="2" t="str">
        <f aca="false">IF(J121&lt;-Targets!$F$2,"Under",IF(J121&gt;Targets!$F$2,"Over","On Track"))</f>
        <v>Under</v>
      </c>
    </row>
    <row r="122" customFormat="false" ht="15" hidden="false" customHeight="false" outlineLevel="0" collapsed="false">
      <c r="A122" s="17" t="n">
        <v>46082</v>
      </c>
      <c r="B122" s="18" t="s">
        <v>78</v>
      </c>
      <c r="C122" s="2" t="str">
        <f aca="false">VLOOKUP(B122,Targets!$A$2:$D$43,2,FALSE())</f>
        <v>North-East</v>
      </c>
      <c r="D122" s="19" t="n">
        <v>1350</v>
      </c>
      <c r="E122" s="19" t="n">
        <v>1140</v>
      </c>
      <c r="F122" s="20" t="n">
        <f aca="false">E122-D122</f>
        <v>-210</v>
      </c>
      <c r="G122" s="21" t="n">
        <f aca="false">IF(D122=0,0,F122/D122)</f>
        <v>-0.155555555555556</v>
      </c>
      <c r="H122" s="21" t="n">
        <f aca="false">IF(D122=0,0,E122/D122)</f>
        <v>0.844444444444444</v>
      </c>
      <c r="I122" s="21" t="n">
        <f aca="false">VLOOKUP(B122,Targets!$A$2:$D$43,3,FALSE())</f>
        <v>0.92</v>
      </c>
      <c r="J122" s="22" t="n">
        <f aca="false">H122-I122</f>
        <v>-0.0755555555555556</v>
      </c>
      <c r="K122" s="2" t="str">
        <f aca="false">IF(J122&lt;-Targets!$F$2,"Under",IF(J122&gt;Targets!$F$2,"Over","On Track"))</f>
        <v>Under</v>
      </c>
    </row>
    <row r="123" customFormat="false" ht="15" hidden="false" customHeight="false" outlineLevel="0" collapsed="false">
      <c r="A123" s="17" t="n">
        <v>46082</v>
      </c>
      <c r="B123" s="18" t="s">
        <v>79</v>
      </c>
      <c r="C123" s="2" t="str">
        <f aca="false">VLOOKUP(B123,Targets!$A$2:$D$43,2,FALSE())</f>
        <v>North-East</v>
      </c>
      <c r="D123" s="19" t="n">
        <v>1250</v>
      </c>
      <c r="E123" s="19" t="n">
        <v>1018</v>
      </c>
      <c r="F123" s="20" t="n">
        <f aca="false">E123-D123</f>
        <v>-232</v>
      </c>
      <c r="G123" s="21" t="n">
        <f aca="false">IF(D123=0,0,F123/D123)</f>
        <v>-0.1856</v>
      </c>
      <c r="H123" s="21" t="n">
        <f aca="false">IF(D123=0,0,E123/D123)</f>
        <v>0.8144</v>
      </c>
      <c r="I123" s="21" t="n">
        <f aca="false">VLOOKUP(B123,Targets!$A$2:$D$43,3,FALSE())</f>
        <v>0.92</v>
      </c>
      <c r="J123" s="22" t="n">
        <f aca="false">H123-I123</f>
        <v>-0.1056</v>
      </c>
      <c r="K123" s="2" t="str">
        <f aca="false">IF(J123&lt;-Targets!$F$2,"Under",IF(J123&gt;Targets!$F$2,"Over","On Track"))</f>
        <v>Under</v>
      </c>
    </row>
    <row r="124" customFormat="false" ht="15" hidden="false" customHeight="false" outlineLevel="0" collapsed="false">
      <c r="A124" s="17" t="n">
        <v>46082</v>
      </c>
      <c r="B124" s="18" t="s">
        <v>80</v>
      </c>
      <c r="C124" s="2" t="str">
        <f aca="false">VLOOKUP(B124,Targets!$A$2:$D$43,2,FALSE())</f>
        <v>North-East</v>
      </c>
      <c r="D124" s="19" t="n">
        <v>2350</v>
      </c>
      <c r="E124" s="19" t="n">
        <v>2003</v>
      </c>
      <c r="F124" s="20" t="n">
        <f aca="false">E124-D124</f>
        <v>-347</v>
      </c>
      <c r="G124" s="21" t="n">
        <f aca="false">IF(D124=0,0,F124/D124)</f>
        <v>-0.147659574468085</v>
      </c>
      <c r="H124" s="21" t="n">
        <f aca="false">IF(D124=0,0,E124/D124)</f>
        <v>0.852340425531915</v>
      </c>
      <c r="I124" s="21" t="n">
        <f aca="false">VLOOKUP(B124,Targets!$A$2:$D$43,3,FALSE())</f>
        <v>0.88</v>
      </c>
      <c r="J124" s="22" t="n">
        <f aca="false">H124-I124</f>
        <v>-0.0276595744680851</v>
      </c>
      <c r="K124" s="2" t="str">
        <f aca="false">IF(J124&lt;-Targets!$F$2,"Under",IF(J124&gt;Targets!$F$2,"Over","On Track"))</f>
        <v>On Track</v>
      </c>
    </row>
    <row r="125" customFormat="false" ht="15" hidden="false" customHeight="false" outlineLevel="0" collapsed="false">
      <c r="A125" s="17" t="n">
        <v>46082</v>
      </c>
      <c r="B125" s="18" t="s">
        <v>81</v>
      </c>
      <c r="C125" s="2" t="str">
        <f aca="false">VLOOKUP(B125,Targets!$A$2:$D$43,2,FALSE())</f>
        <v>North-East</v>
      </c>
      <c r="D125" s="19" t="n">
        <v>1500</v>
      </c>
      <c r="E125" s="19" t="n">
        <v>1255</v>
      </c>
      <c r="F125" s="20" t="n">
        <f aca="false">E125-D125</f>
        <v>-245</v>
      </c>
      <c r="G125" s="21" t="n">
        <f aca="false">IF(D125=0,0,F125/D125)</f>
        <v>-0.163333333333333</v>
      </c>
      <c r="H125" s="21" t="n">
        <f aca="false">IF(D125=0,0,E125/D125)</f>
        <v>0.836666666666667</v>
      </c>
      <c r="I125" s="21" t="n">
        <f aca="false">VLOOKUP(B125,Targets!$A$2:$D$43,3,FALSE())</f>
        <v>0.88</v>
      </c>
      <c r="J125" s="22" t="n">
        <f aca="false">H125-I125</f>
        <v>-0.0433333333333333</v>
      </c>
      <c r="K125" s="2" t="str">
        <f aca="false">IF(J125&lt;-Targets!$F$2,"Under",IF(J125&gt;Targets!$F$2,"Over","On Track"))</f>
        <v>On Track</v>
      </c>
    </row>
    <row r="126" customFormat="false" ht="15" hidden="false" customHeight="false" outlineLevel="0" collapsed="false">
      <c r="A126" s="17" t="n">
        <v>46082</v>
      </c>
      <c r="B126" s="18" t="s">
        <v>82</v>
      </c>
      <c r="C126" s="2" t="str">
        <f aca="false">VLOOKUP(B126,Targets!$A$2:$D$43,2,FALSE())</f>
        <v>North-East</v>
      </c>
      <c r="D126" s="19" t="n">
        <v>900</v>
      </c>
      <c r="E126" s="19" t="n">
        <v>670</v>
      </c>
      <c r="F126" s="20" t="n">
        <f aca="false">E126-D126</f>
        <v>-230</v>
      </c>
      <c r="G126" s="21" t="n">
        <f aca="false">IF(D126=0,0,F126/D126)</f>
        <v>-0.255555555555556</v>
      </c>
      <c r="H126" s="21" t="n">
        <f aca="false">IF(D126=0,0,E126/D126)</f>
        <v>0.744444444444445</v>
      </c>
      <c r="I126" s="21" t="n">
        <f aca="false">VLOOKUP(B126,Targets!$A$2:$D$43,3,FALSE())</f>
        <v>0.85</v>
      </c>
      <c r="J126" s="22" t="n">
        <f aca="false">H126-I126</f>
        <v>-0.105555555555556</v>
      </c>
      <c r="K126" s="2" t="str">
        <f aca="false">IF(J126&lt;-Targets!$F$2,"Under",IF(J126&gt;Targets!$F$2,"Over","On Track"))</f>
        <v>Under</v>
      </c>
    </row>
    <row r="127" customFormat="false" ht="15" hidden="false" customHeight="false" outlineLevel="0" collapsed="false">
      <c r="A127" s="17" t="n">
        <v>46082</v>
      </c>
      <c r="B127" s="18" t="s">
        <v>83</v>
      </c>
      <c r="C127" s="2" t="str">
        <f aca="false">VLOOKUP(B127,Targets!$A$2:$D$43,2,FALSE())</f>
        <v>North-East</v>
      </c>
      <c r="D127" s="19" t="n">
        <v>1300</v>
      </c>
      <c r="E127" s="19" t="n">
        <v>1079</v>
      </c>
      <c r="F127" s="20" t="n">
        <f aca="false">E127-D127</f>
        <v>-221</v>
      </c>
      <c r="G127" s="21" t="n">
        <f aca="false">IF(D127=0,0,F127/D127)</f>
        <v>-0.17</v>
      </c>
      <c r="H127" s="21" t="n">
        <f aca="false">IF(D127=0,0,E127/D127)</f>
        <v>0.83</v>
      </c>
      <c r="I127" s="21" t="n">
        <f aca="false">VLOOKUP(B127,Targets!$A$2:$D$43,3,FALSE())</f>
        <v>0.88</v>
      </c>
      <c r="J127" s="22" t="n">
        <f aca="false">H127-I127</f>
        <v>-0.05</v>
      </c>
      <c r="K127" s="2" t="str">
        <f aca="false">IF(J127&lt;-Targets!$F$2,"Under",IF(J127&gt;Targets!$F$2,"Over","On Track"))</f>
        <v>On Track</v>
      </c>
    </row>
    <row r="128" customFormat="false" ht="15" hidden="false" customHeight="false" outlineLevel="0" collapsed="false">
      <c r="A128" s="17" t="n">
        <v>46113</v>
      </c>
      <c r="B128" s="18" t="s">
        <v>41</v>
      </c>
      <c r="C128" s="2" t="str">
        <f aca="false">VLOOKUP(B128,Targets!$A$2:$D$43,2,FALSE())</f>
        <v>North</v>
      </c>
      <c r="D128" s="19" t="n">
        <v>2650</v>
      </c>
      <c r="E128" s="19" t="n">
        <v>2283</v>
      </c>
      <c r="F128" s="20" t="n">
        <f aca="false">E128-D128</f>
        <v>-367</v>
      </c>
      <c r="G128" s="21" t="n">
        <f aca="false">IF(D128=0,0,F128/D128)</f>
        <v>-0.138490566037736</v>
      </c>
      <c r="H128" s="21" t="n">
        <f aca="false">IF(D128=0,0,E128/D128)</f>
        <v>0.861509433962264</v>
      </c>
      <c r="I128" s="21" t="n">
        <f aca="false">VLOOKUP(B128,Targets!$A$2:$D$43,3,FALSE())</f>
        <v>0.88</v>
      </c>
      <c r="J128" s="22" t="n">
        <f aca="false">H128-I128</f>
        <v>-0.0184905660377358</v>
      </c>
      <c r="K128" s="2" t="str">
        <f aca="false">IF(J128&lt;-Targets!$F$2,"Under",IF(J128&gt;Targets!$F$2,"Over","On Track"))</f>
        <v>On Track</v>
      </c>
    </row>
    <row r="129" customFormat="false" ht="15" hidden="false" customHeight="false" outlineLevel="0" collapsed="false">
      <c r="A129" s="17" t="n">
        <v>46113</v>
      </c>
      <c r="B129" s="18" t="s">
        <v>42</v>
      </c>
      <c r="C129" s="2" t="str">
        <f aca="false">VLOOKUP(B129,Targets!$A$2:$D$43,2,FALSE())</f>
        <v>North</v>
      </c>
      <c r="D129" s="19" t="n">
        <v>2250</v>
      </c>
      <c r="E129" s="19" t="n">
        <v>1972</v>
      </c>
      <c r="F129" s="20" t="n">
        <f aca="false">E129-D129</f>
        <v>-278</v>
      </c>
      <c r="G129" s="21" t="n">
        <f aca="false">IF(D129=0,0,F129/D129)</f>
        <v>-0.123555555555556</v>
      </c>
      <c r="H129" s="21" t="n">
        <f aca="false">IF(D129=0,0,E129/D129)</f>
        <v>0.876444444444445</v>
      </c>
      <c r="I129" s="21" t="n">
        <f aca="false">VLOOKUP(B129,Targets!$A$2:$D$43,3,FALSE())</f>
        <v>0.88</v>
      </c>
      <c r="J129" s="22" t="n">
        <f aca="false">H129-I129</f>
        <v>-0.00355555555555553</v>
      </c>
      <c r="K129" s="2" t="str">
        <f aca="false">IF(J129&lt;-Targets!$F$2,"Under",IF(J129&gt;Targets!$F$2,"Over","On Track"))</f>
        <v>On Track</v>
      </c>
    </row>
    <row r="130" customFormat="false" ht="15" hidden="false" customHeight="false" outlineLevel="0" collapsed="false">
      <c r="A130" s="17" t="n">
        <v>46113</v>
      </c>
      <c r="B130" s="18" t="s">
        <v>44</v>
      </c>
      <c r="C130" s="2" t="str">
        <f aca="false">VLOOKUP(B130,Targets!$A$2:$D$43,2,FALSE())</f>
        <v>North</v>
      </c>
      <c r="D130" s="19" t="n">
        <v>2500</v>
      </c>
      <c r="E130" s="19" t="n">
        <v>2208</v>
      </c>
      <c r="F130" s="20" t="n">
        <f aca="false">E130-D130</f>
        <v>-292</v>
      </c>
      <c r="G130" s="21" t="n">
        <f aca="false">IF(D130=0,0,F130/D130)</f>
        <v>-0.1168</v>
      </c>
      <c r="H130" s="21" t="n">
        <f aca="false">IF(D130=0,0,E130/D130)</f>
        <v>0.8832</v>
      </c>
      <c r="I130" s="21" t="n">
        <f aca="false">VLOOKUP(B130,Targets!$A$2:$D$43,3,FALSE())</f>
        <v>0.88</v>
      </c>
      <c r="J130" s="22" t="n">
        <f aca="false">H130-I130</f>
        <v>0.00319999999999998</v>
      </c>
      <c r="K130" s="2" t="str">
        <f aca="false">IF(J130&lt;-Targets!$F$2,"Under",IF(J130&gt;Targets!$F$2,"Over","On Track"))</f>
        <v>On Track</v>
      </c>
    </row>
    <row r="131" customFormat="false" ht="15" hidden="false" customHeight="false" outlineLevel="0" collapsed="false">
      <c r="A131" s="17" t="n">
        <v>46113</v>
      </c>
      <c r="B131" s="18" t="s">
        <v>45</v>
      </c>
      <c r="C131" s="2" t="str">
        <f aca="false">VLOOKUP(B131,Targets!$A$2:$D$43,2,FALSE())</f>
        <v>North</v>
      </c>
      <c r="D131" s="19" t="n">
        <v>1100</v>
      </c>
      <c r="E131" s="19" t="n">
        <v>937</v>
      </c>
      <c r="F131" s="20" t="n">
        <f aca="false">E131-D131</f>
        <v>-163</v>
      </c>
      <c r="G131" s="21" t="n">
        <f aca="false">IF(D131=0,0,F131/D131)</f>
        <v>-0.148181818181818</v>
      </c>
      <c r="H131" s="21" t="n">
        <f aca="false">IF(D131=0,0,E131/D131)</f>
        <v>0.851818181818182</v>
      </c>
      <c r="I131" s="21" t="n">
        <f aca="false">VLOOKUP(B131,Targets!$A$2:$D$43,3,FALSE())</f>
        <v>0.88</v>
      </c>
      <c r="J131" s="22" t="n">
        <f aca="false">H131-I131</f>
        <v>-0.0281818181818182</v>
      </c>
      <c r="K131" s="2" t="str">
        <f aca="false">IF(J131&lt;-Targets!$F$2,"Under",IF(J131&gt;Targets!$F$2,"Over","On Track"))</f>
        <v>On Track</v>
      </c>
    </row>
    <row r="132" customFormat="false" ht="15" hidden="false" customHeight="false" outlineLevel="0" collapsed="false">
      <c r="A132" s="17" t="n">
        <v>46113</v>
      </c>
      <c r="B132" s="18" t="s">
        <v>46</v>
      </c>
      <c r="C132" s="2" t="str">
        <f aca="false">VLOOKUP(B132,Targets!$A$2:$D$43,2,FALSE())</f>
        <v>North</v>
      </c>
      <c r="D132" s="19" t="n">
        <v>2350</v>
      </c>
      <c r="E132" s="19" t="n">
        <v>2118</v>
      </c>
      <c r="F132" s="20" t="n">
        <f aca="false">E132-D132</f>
        <v>-232</v>
      </c>
      <c r="G132" s="21" t="n">
        <f aca="false">IF(D132=0,0,F132/D132)</f>
        <v>-0.0987234042553192</v>
      </c>
      <c r="H132" s="21" t="n">
        <f aca="false">IF(D132=0,0,E132/D132)</f>
        <v>0.901276595744681</v>
      </c>
      <c r="I132" s="21" t="n">
        <f aca="false">VLOOKUP(B132,Targets!$A$2:$D$43,3,FALSE())</f>
        <v>0.88</v>
      </c>
      <c r="J132" s="22" t="n">
        <f aca="false">H132-I132</f>
        <v>0.0212765957446809</v>
      </c>
      <c r="K132" s="2" t="str">
        <f aca="false">IF(J132&lt;-Targets!$F$2,"Under",IF(J132&gt;Targets!$F$2,"Over","On Track"))</f>
        <v>On Track</v>
      </c>
    </row>
    <row r="133" customFormat="false" ht="15" hidden="false" customHeight="false" outlineLevel="0" collapsed="false">
      <c r="A133" s="17" t="n">
        <v>46113</v>
      </c>
      <c r="B133" s="18" t="s">
        <v>47</v>
      </c>
      <c r="C133" s="2" t="str">
        <f aca="false">VLOOKUP(B133,Targets!$A$2:$D$43,2,FALSE())</f>
        <v>North</v>
      </c>
      <c r="D133" s="19" t="n">
        <v>3150</v>
      </c>
      <c r="E133" s="19" t="n">
        <v>2907</v>
      </c>
      <c r="F133" s="20" t="n">
        <f aca="false">E133-D133</f>
        <v>-243</v>
      </c>
      <c r="G133" s="21" t="n">
        <f aca="false">IF(D133=0,0,F133/D133)</f>
        <v>-0.0771428571428571</v>
      </c>
      <c r="H133" s="21" t="n">
        <f aca="false">IF(D133=0,0,E133/D133)</f>
        <v>0.922857142857143</v>
      </c>
      <c r="I133" s="21" t="n">
        <f aca="false">VLOOKUP(B133,Targets!$A$2:$D$43,3,FALSE())</f>
        <v>0.9</v>
      </c>
      <c r="J133" s="22" t="n">
        <f aca="false">H133-I133</f>
        <v>0.0228571428571428</v>
      </c>
      <c r="K133" s="2" t="str">
        <f aca="false">IF(J133&lt;-Targets!$F$2,"Under",IF(J133&gt;Targets!$F$2,"Over","On Track"))</f>
        <v>On Track</v>
      </c>
    </row>
    <row r="134" customFormat="false" ht="15" hidden="false" customHeight="false" outlineLevel="0" collapsed="false">
      <c r="A134" s="17" t="n">
        <v>46113</v>
      </c>
      <c r="B134" s="18" t="s">
        <v>48</v>
      </c>
      <c r="C134" s="2" t="str">
        <f aca="false">VLOOKUP(B134,Targets!$A$2:$D$43,2,FALSE())</f>
        <v>North</v>
      </c>
      <c r="D134" s="19" t="n">
        <v>1850</v>
      </c>
      <c r="E134" s="19" t="n">
        <v>1612</v>
      </c>
      <c r="F134" s="20" t="n">
        <f aca="false">E134-D134</f>
        <v>-238</v>
      </c>
      <c r="G134" s="21" t="n">
        <f aca="false">IF(D134=0,0,F134/D134)</f>
        <v>-0.128648648648649</v>
      </c>
      <c r="H134" s="21" t="n">
        <f aca="false">IF(D134=0,0,E134/D134)</f>
        <v>0.871351351351351</v>
      </c>
      <c r="I134" s="21" t="n">
        <f aca="false">VLOOKUP(B134,Targets!$A$2:$D$43,3,FALSE())</f>
        <v>0.85</v>
      </c>
      <c r="J134" s="22" t="n">
        <f aca="false">H134-I134</f>
        <v>0.0213513513513514</v>
      </c>
      <c r="K134" s="2" t="str">
        <f aca="false">IF(J134&lt;-Targets!$F$2,"Under",IF(J134&gt;Targets!$F$2,"Over","On Track"))</f>
        <v>On Track</v>
      </c>
    </row>
    <row r="135" customFormat="false" ht="15" hidden="false" customHeight="false" outlineLevel="0" collapsed="false">
      <c r="A135" s="17" t="n">
        <v>46113</v>
      </c>
      <c r="B135" s="18" t="s">
        <v>49</v>
      </c>
      <c r="C135" s="2" t="str">
        <f aca="false">VLOOKUP(B135,Targets!$A$2:$D$43,2,FALSE())</f>
        <v>South</v>
      </c>
      <c r="D135" s="19" t="n">
        <v>1150</v>
      </c>
      <c r="E135" s="19" t="n">
        <v>1018</v>
      </c>
      <c r="F135" s="20" t="n">
        <f aca="false">E135-D135</f>
        <v>-132</v>
      </c>
      <c r="G135" s="21" t="n">
        <f aca="false">IF(D135=0,0,F135/D135)</f>
        <v>-0.114782608695652</v>
      </c>
      <c r="H135" s="21" t="n">
        <f aca="false">IF(D135=0,0,E135/D135)</f>
        <v>0.885217391304348</v>
      </c>
      <c r="I135" s="21" t="n">
        <f aca="false">VLOOKUP(B135,Targets!$A$2:$D$43,3,FALSE())</f>
        <v>0.92</v>
      </c>
      <c r="J135" s="22" t="n">
        <f aca="false">H135-I135</f>
        <v>-0.0347826086956522</v>
      </c>
      <c r="K135" s="2" t="str">
        <f aca="false">IF(J135&lt;-Targets!$F$2,"Under",IF(J135&gt;Targets!$F$2,"Over","On Track"))</f>
        <v>On Track</v>
      </c>
    </row>
    <row r="136" customFormat="false" ht="15" hidden="false" customHeight="false" outlineLevel="0" collapsed="false">
      <c r="A136" s="17" t="n">
        <v>46113</v>
      </c>
      <c r="B136" s="18" t="s">
        <v>50</v>
      </c>
      <c r="C136" s="2" t="str">
        <f aca="false">VLOOKUP(B136,Targets!$A$2:$D$43,2,FALSE())</f>
        <v>South</v>
      </c>
      <c r="D136" s="19" t="n">
        <v>3100</v>
      </c>
      <c r="E136" s="19" t="n">
        <v>2469</v>
      </c>
      <c r="F136" s="20" t="n">
        <f aca="false">E136-D136</f>
        <v>-631</v>
      </c>
      <c r="G136" s="21" t="n">
        <f aca="false">IF(D136=0,0,F136/D136)</f>
        <v>-0.203548387096774</v>
      </c>
      <c r="H136" s="21" t="n">
        <f aca="false">IF(D136=0,0,E136/D136)</f>
        <v>0.796451612903226</v>
      </c>
      <c r="I136" s="21" t="n">
        <f aca="false">VLOOKUP(B136,Targets!$A$2:$D$43,3,FALSE())</f>
        <v>0.9</v>
      </c>
      <c r="J136" s="22" t="n">
        <f aca="false">H136-I136</f>
        <v>-0.103548387096774</v>
      </c>
      <c r="K136" s="2" t="str">
        <f aca="false">IF(J136&lt;-Targets!$F$2,"Under",IF(J136&gt;Targets!$F$2,"Over","On Track"))</f>
        <v>Under</v>
      </c>
    </row>
    <row r="137" customFormat="false" ht="15" hidden="false" customHeight="false" outlineLevel="0" collapsed="false">
      <c r="A137" s="17" t="n">
        <v>46113</v>
      </c>
      <c r="B137" s="18" t="s">
        <v>51</v>
      </c>
      <c r="C137" s="2" t="str">
        <f aca="false">VLOOKUP(B137,Targets!$A$2:$D$43,2,FALSE())</f>
        <v>South</v>
      </c>
      <c r="D137" s="19" t="n">
        <v>2450</v>
      </c>
      <c r="E137" s="19" t="n">
        <v>1852</v>
      </c>
      <c r="F137" s="20" t="n">
        <f aca="false">E137-D137</f>
        <v>-598</v>
      </c>
      <c r="G137" s="21" t="n">
        <f aca="false">IF(D137=0,0,F137/D137)</f>
        <v>-0.244081632653061</v>
      </c>
      <c r="H137" s="21" t="n">
        <f aca="false">IF(D137=0,0,E137/D137)</f>
        <v>0.755918367346939</v>
      </c>
      <c r="I137" s="21" t="n">
        <f aca="false">VLOOKUP(B137,Targets!$A$2:$D$43,3,FALSE())</f>
        <v>0.92</v>
      </c>
      <c r="J137" s="22" t="n">
        <f aca="false">H137-I137</f>
        <v>-0.164081632653061</v>
      </c>
      <c r="K137" s="2" t="str">
        <f aca="false">IF(J137&lt;-Targets!$F$2,"Under",IF(J137&gt;Targets!$F$2,"Over","On Track"))</f>
        <v>Under</v>
      </c>
    </row>
    <row r="138" customFormat="false" ht="15" hidden="false" customHeight="false" outlineLevel="0" collapsed="false">
      <c r="A138" s="17" t="n">
        <v>46113</v>
      </c>
      <c r="B138" s="18" t="s">
        <v>52</v>
      </c>
      <c r="C138" s="2" t="str">
        <f aca="false">VLOOKUP(B138,Targets!$A$2:$D$43,2,FALSE())</f>
        <v>South</v>
      </c>
      <c r="D138" s="19" t="n">
        <v>1350</v>
      </c>
      <c r="E138" s="19" t="n">
        <v>1087</v>
      </c>
      <c r="F138" s="20" t="n">
        <f aca="false">E138-D138</f>
        <v>-263</v>
      </c>
      <c r="G138" s="21" t="n">
        <f aca="false">IF(D138=0,0,F138/D138)</f>
        <v>-0.194814814814815</v>
      </c>
      <c r="H138" s="21" t="n">
        <f aca="false">IF(D138=0,0,E138/D138)</f>
        <v>0.805185185185185</v>
      </c>
      <c r="I138" s="21" t="n">
        <f aca="false">VLOOKUP(B138,Targets!$A$2:$D$43,3,FALSE())</f>
        <v>0.92</v>
      </c>
      <c r="J138" s="22" t="n">
        <f aca="false">H138-I138</f>
        <v>-0.114814814814815</v>
      </c>
      <c r="K138" s="2" t="str">
        <f aca="false">IF(J138&lt;-Targets!$F$2,"Under",IF(J138&gt;Targets!$F$2,"Over","On Track"))</f>
        <v>Under</v>
      </c>
    </row>
    <row r="139" customFormat="false" ht="15" hidden="false" customHeight="false" outlineLevel="0" collapsed="false">
      <c r="A139" s="17" t="n">
        <v>46113</v>
      </c>
      <c r="B139" s="18" t="s">
        <v>53</v>
      </c>
      <c r="C139" s="2" t="str">
        <f aca="false">VLOOKUP(B139,Targets!$A$2:$D$43,2,FALSE())</f>
        <v>South</v>
      </c>
      <c r="D139" s="19" t="n">
        <v>2400</v>
      </c>
      <c r="E139" s="19" t="n">
        <v>2016</v>
      </c>
      <c r="F139" s="20" t="n">
        <f aca="false">E139-D139</f>
        <v>-384</v>
      </c>
      <c r="G139" s="21" t="n">
        <f aca="false">IF(D139=0,0,F139/D139)</f>
        <v>-0.16</v>
      </c>
      <c r="H139" s="21" t="n">
        <f aca="false">IF(D139=0,0,E139/D139)</f>
        <v>0.84</v>
      </c>
      <c r="I139" s="21" t="n">
        <f aca="false">VLOOKUP(B139,Targets!$A$2:$D$43,3,FALSE())</f>
        <v>0.92</v>
      </c>
      <c r="J139" s="22" t="n">
        <f aca="false">H139-I139</f>
        <v>-0.0800000000000001</v>
      </c>
      <c r="K139" s="2" t="str">
        <f aca="false">IF(J139&lt;-Targets!$F$2,"Under",IF(J139&gt;Targets!$F$2,"Over","On Track"))</f>
        <v>Under</v>
      </c>
    </row>
    <row r="140" customFormat="false" ht="15" hidden="false" customHeight="false" outlineLevel="0" collapsed="false">
      <c r="A140" s="17" t="n">
        <v>46113</v>
      </c>
      <c r="B140" s="18" t="s">
        <v>54</v>
      </c>
      <c r="C140" s="2" t="str">
        <f aca="false">VLOOKUP(B140,Targets!$A$2:$D$43,2,FALSE())</f>
        <v>South</v>
      </c>
      <c r="D140" s="19" t="n">
        <v>3150</v>
      </c>
      <c r="E140" s="19" t="n">
        <v>2555</v>
      </c>
      <c r="F140" s="20" t="n">
        <f aca="false">E140-D140</f>
        <v>-595</v>
      </c>
      <c r="G140" s="21" t="n">
        <f aca="false">IF(D140=0,0,F140/D140)</f>
        <v>-0.188888888888889</v>
      </c>
      <c r="H140" s="21" t="n">
        <f aca="false">IF(D140=0,0,E140/D140)</f>
        <v>0.811111111111111</v>
      </c>
      <c r="I140" s="21" t="n">
        <f aca="false">VLOOKUP(B140,Targets!$A$2:$D$43,3,FALSE())</f>
        <v>0.9</v>
      </c>
      <c r="J140" s="22" t="n">
        <f aca="false">H140-I140</f>
        <v>-0.0888888888888889</v>
      </c>
      <c r="K140" s="2" t="str">
        <f aca="false">IF(J140&lt;-Targets!$F$2,"Under",IF(J140&gt;Targets!$F$2,"Over","On Track"))</f>
        <v>Under</v>
      </c>
    </row>
    <row r="141" customFormat="false" ht="15" hidden="false" customHeight="false" outlineLevel="0" collapsed="false">
      <c r="A141" s="17" t="n">
        <v>46113</v>
      </c>
      <c r="B141" s="18" t="s">
        <v>55</v>
      </c>
      <c r="C141" s="2" t="str">
        <f aca="false">VLOOKUP(B141,Targets!$A$2:$D$43,2,FALSE())</f>
        <v>South</v>
      </c>
      <c r="D141" s="19" t="n">
        <v>1350</v>
      </c>
      <c r="E141" s="19" t="n">
        <v>1160</v>
      </c>
      <c r="F141" s="20" t="n">
        <f aca="false">E141-D141</f>
        <v>-190</v>
      </c>
      <c r="G141" s="21" t="n">
        <f aca="false">IF(D141=0,0,F141/D141)</f>
        <v>-0.140740740740741</v>
      </c>
      <c r="H141" s="21" t="n">
        <f aca="false">IF(D141=0,0,E141/D141)</f>
        <v>0.859259259259259</v>
      </c>
      <c r="I141" s="21" t="n">
        <f aca="false">VLOOKUP(B141,Targets!$A$2:$D$43,3,FALSE())</f>
        <v>0.92</v>
      </c>
      <c r="J141" s="22" t="n">
        <f aca="false">H141-I141</f>
        <v>-0.0607407407407408</v>
      </c>
      <c r="K141" s="2" t="str">
        <f aca="false">IF(J141&lt;-Targets!$F$2,"Under",IF(J141&gt;Targets!$F$2,"Over","On Track"))</f>
        <v>Under</v>
      </c>
    </row>
    <row r="142" customFormat="false" ht="15" hidden="false" customHeight="false" outlineLevel="0" collapsed="false">
      <c r="A142" s="17" t="n">
        <v>46113</v>
      </c>
      <c r="B142" s="18" t="s">
        <v>56</v>
      </c>
      <c r="C142" s="2" t="str">
        <f aca="false">VLOOKUP(B142,Targets!$A$2:$D$43,2,FALSE())</f>
        <v>East</v>
      </c>
      <c r="D142" s="19" t="n">
        <v>2850</v>
      </c>
      <c r="E142" s="19" t="n">
        <v>2680</v>
      </c>
      <c r="F142" s="20" t="n">
        <f aca="false">E142-D142</f>
        <v>-170</v>
      </c>
      <c r="G142" s="21" t="n">
        <f aca="false">IF(D142=0,0,F142/D142)</f>
        <v>-0.0596491228070175</v>
      </c>
      <c r="H142" s="21" t="n">
        <f aca="false">IF(D142=0,0,E142/D142)</f>
        <v>0.940350877192983</v>
      </c>
      <c r="I142" s="21" t="n">
        <f aca="false">VLOOKUP(B142,Targets!$A$2:$D$43,3,FALSE())</f>
        <v>0.92</v>
      </c>
      <c r="J142" s="22" t="n">
        <f aca="false">H142-I142</f>
        <v>0.0203508771929825</v>
      </c>
      <c r="K142" s="2" t="str">
        <f aca="false">IF(J142&lt;-Targets!$F$2,"Under",IF(J142&gt;Targets!$F$2,"Over","On Track"))</f>
        <v>On Track</v>
      </c>
    </row>
    <row r="143" customFormat="false" ht="15" hidden="false" customHeight="false" outlineLevel="0" collapsed="false">
      <c r="A143" s="17" t="n">
        <v>46113</v>
      </c>
      <c r="B143" s="18" t="s">
        <v>57</v>
      </c>
      <c r="C143" s="2" t="str">
        <f aca="false">VLOOKUP(B143,Targets!$A$2:$D$43,2,FALSE())</f>
        <v>East</v>
      </c>
      <c r="D143" s="19" t="n">
        <v>2500</v>
      </c>
      <c r="E143" s="19" t="n">
        <v>2135</v>
      </c>
      <c r="F143" s="20" t="n">
        <f aca="false">E143-D143</f>
        <v>-365</v>
      </c>
      <c r="G143" s="21" t="n">
        <f aca="false">IF(D143=0,0,F143/D143)</f>
        <v>-0.146</v>
      </c>
      <c r="H143" s="21" t="n">
        <f aca="false">IF(D143=0,0,E143/D143)</f>
        <v>0.854</v>
      </c>
      <c r="I143" s="21" t="n">
        <f aca="false">VLOOKUP(B143,Targets!$A$2:$D$43,3,FALSE())</f>
        <v>0.88</v>
      </c>
      <c r="J143" s="22" t="n">
        <f aca="false">H143-I143</f>
        <v>-0.026</v>
      </c>
      <c r="K143" s="2" t="str">
        <f aca="false">IF(J143&lt;-Targets!$F$2,"Under",IF(J143&gt;Targets!$F$2,"Over","On Track"))</f>
        <v>On Track</v>
      </c>
    </row>
    <row r="144" customFormat="false" ht="15" hidden="false" customHeight="false" outlineLevel="0" collapsed="false">
      <c r="A144" s="17" t="n">
        <v>46113</v>
      </c>
      <c r="B144" s="18" t="s">
        <v>58</v>
      </c>
      <c r="C144" s="2" t="str">
        <f aca="false">VLOOKUP(B144,Targets!$A$2:$D$43,2,FALSE())</f>
        <v>East</v>
      </c>
      <c r="D144" s="19" t="n">
        <v>1400</v>
      </c>
      <c r="E144" s="19" t="n">
        <v>1252</v>
      </c>
      <c r="F144" s="20" t="n">
        <f aca="false">E144-D144</f>
        <v>-148</v>
      </c>
      <c r="G144" s="21" t="n">
        <f aca="false">IF(D144=0,0,F144/D144)</f>
        <v>-0.105714285714286</v>
      </c>
      <c r="H144" s="21" t="n">
        <f aca="false">IF(D144=0,0,E144/D144)</f>
        <v>0.894285714285714</v>
      </c>
      <c r="I144" s="21" t="n">
        <f aca="false">VLOOKUP(B144,Targets!$A$2:$D$43,3,FALSE())</f>
        <v>0.92</v>
      </c>
      <c r="J144" s="22" t="n">
        <f aca="false">H144-I144</f>
        <v>-0.0257142857142858</v>
      </c>
      <c r="K144" s="2" t="str">
        <f aca="false">IF(J144&lt;-Targets!$F$2,"Under",IF(J144&gt;Targets!$F$2,"Over","On Track"))</f>
        <v>On Track</v>
      </c>
    </row>
    <row r="145" customFormat="false" ht="15" hidden="false" customHeight="false" outlineLevel="0" collapsed="false">
      <c r="A145" s="17" t="n">
        <v>46113</v>
      </c>
      <c r="B145" s="18" t="s">
        <v>59</v>
      </c>
      <c r="C145" s="2" t="str">
        <f aca="false">VLOOKUP(B145,Targets!$A$2:$D$43,2,FALSE())</f>
        <v>East</v>
      </c>
      <c r="D145" s="19" t="n">
        <v>1300</v>
      </c>
      <c r="E145" s="19" t="n">
        <v>1054</v>
      </c>
      <c r="F145" s="20" t="n">
        <f aca="false">E145-D145</f>
        <v>-246</v>
      </c>
      <c r="G145" s="21" t="n">
        <f aca="false">IF(D145=0,0,F145/D145)</f>
        <v>-0.189230769230769</v>
      </c>
      <c r="H145" s="21" t="n">
        <f aca="false">IF(D145=0,0,E145/D145)</f>
        <v>0.810769230769231</v>
      </c>
      <c r="I145" s="21" t="n">
        <f aca="false">VLOOKUP(B145,Targets!$A$2:$D$43,3,FALSE())</f>
        <v>0.88</v>
      </c>
      <c r="J145" s="22" t="n">
        <f aca="false">H145-I145</f>
        <v>-0.0692307692307692</v>
      </c>
      <c r="K145" s="2" t="str">
        <f aca="false">IF(J145&lt;-Targets!$F$2,"Under",IF(J145&gt;Targets!$F$2,"Over","On Track"))</f>
        <v>Under</v>
      </c>
    </row>
    <row r="146" customFormat="false" ht="15" hidden="false" customHeight="false" outlineLevel="0" collapsed="false">
      <c r="A146" s="17" t="n">
        <v>46113</v>
      </c>
      <c r="B146" s="18" t="s">
        <v>60</v>
      </c>
      <c r="C146" s="2" t="str">
        <f aca="false">VLOOKUP(B146,Targets!$A$2:$D$43,2,FALSE())</f>
        <v>East</v>
      </c>
      <c r="D146" s="19" t="n">
        <v>3050</v>
      </c>
      <c r="E146" s="19" t="n">
        <v>2781</v>
      </c>
      <c r="F146" s="20" t="n">
        <f aca="false">E146-D146</f>
        <v>-269</v>
      </c>
      <c r="G146" s="21" t="n">
        <f aca="false">IF(D146=0,0,F146/D146)</f>
        <v>-0.0881967213114754</v>
      </c>
      <c r="H146" s="21" t="n">
        <f aca="false">IF(D146=0,0,E146/D146)</f>
        <v>0.911803278688525</v>
      </c>
      <c r="I146" s="21" t="n">
        <f aca="false">VLOOKUP(B146,Targets!$A$2:$D$43,3,FALSE())</f>
        <v>0.88</v>
      </c>
      <c r="J146" s="22" t="n">
        <f aca="false">H146-I146</f>
        <v>0.0318032786885246</v>
      </c>
      <c r="K146" s="2" t="str">
        <f aca="false">IF(J146&lt;-Targets!$F$2,"Under",IF(J146&gt;Targets!$F$2,"Over","On Track"))</f>
        <v>On Track</v>
      </c>
    </row>
    <row r="147" customFormat="false" ht="15" hidden="false" customHeight="false" outlineLevel="0" collapsed="false">
      <c r="A147" s="17" t="n">
        <v>46113</v>
      </c>
      <c r="B147" s="18" t="s">
        <v>61</v>
      </c>
      <c r="C147" s="2" t="str">
        <f aca="false">VLOOKUP(B147,Targets!$A$2:$D$43,2,FALSE())</f>
        <v>East</v>
      </c>
      <c r="D147" s="19" t="n">
        <v>1650</v>
      </c>
      <c r="E147" s="19" t="n">
        <v>1397</v>
      </c>
      <c r="F147" s="20" t="n">
        <f aca="false">E147-D147</f>
        <v>-253</v>
      </c>
      <c r="G147" s="21" t="n">
        <f aca="false">IF(D147=0,0,F147/D147)</f>
        <v>-0.153333333333333</v>
      </c>
      <c r="H147" s="21" t="n">
        <f aca="false">IF(D147=0,0,E147/D147)</f>
        <v>0.846666666666667</v>
      </c>
      <c r="I147" s="21" t="n">
        <f aca="false">VLOOKUP(B147,Targets!$A$2:$D$43,3,FALSE())</f>
        <v>0.88</v>
      </c>
      <c r="J147" s="22" t="n">
        <f aca="false">H147-I147</f>
        <v>-0.0333333333333333</v>
      </c>
      <c r="K147" s="2" t="str">
        <f aca="false">IF(J147&lt;-Targets!$F$2,"Under",IF(J147&gt;Targets!$F$2,"Over","On Track"))</f>
        <v>On Track</v>
      </c>
    </row>
    <row r="148" customFormat="false" ht="15" hidden="false" customHeight="false" outlineLevel="0" collapsed="false">
      <c r="A148" s="17" t="n">
        <v>46113</v>
      </c>
      <c r="B148" s="18" t="s">
        <v>62</v>
      </c>
      <c r="C148" s="2" t="str">
        <f aca="false">VLOOKUP(B148,Targets!$A$2:$D$43,2,FALSE())</f>
        <v>East</v>
      </c>
      <c r="D148" s="19" t="n">
        <v>1900</v>
      </c>
      <c r="E148" s="19" t="n">
        <v>1607</v>
      </c>
      <c r="F148" s="20" t="n">
        <f aca="false">E148-D148</f>
        <v>-293</v>
      </c>
      <c r="G148" s="21" t="n">
        <f aca="false">IF(D148=0,0,F148/D148)</f>
        <v>-0.154210526315789</v>
      </c>
      <c r="H148" s="21" t="n">
        <f aca="false">IF(D148=0,0,E148/D148)</f>
        <v>0.845789473684211</v>
      </c>
      <c r="I148" s="21" t="n">
        <f aca="false">VLOOKUP(B148,Targets!$A$2:$D$43,3,FALSE())</f>
        <v>0.92</v>
      </c>
      <c r="J148" s="22" t="n">
        <f aca="false">H148-I148</f>
        <v>-0.0742105263157895</v>
      </c>
      <c r="K148" s="2" t="str">
        <f aca="false">IF(J148&lt;-Targets!$F$2,"Under",IF(J148&gt;Targets!$F$2,"Over","On Track"))</f>
        <v>Under</v>
      </c>
    </row>
    <row r="149" customFormat="false" ht="15" hidden="false" customHeight="false" outlineLevel="0" collapsed="false">
      <c r="A149" s="17" t="n">
        <v>46113</v>
      </c>
      <c r="B149" s="18" t="s">
        <v>63</v>
      </c>
      <c r="C149" s="2" t="str">
        <f aca="false">VLOOKUP(B149,Targets!$A$2:$D$43,2,FALSE())</f>
        <v>West</v>
      </c>
      <c r="D149" s="19" t="n">
        <v>2400</v>
      </c>
      <c r="E149" s="19" t="n">
        <v>2002</v>
      </c>
      <c r="F149" s="20" t="n">
        <f aca="false">E149-D149</f>
        <v>-398</v>
      </c>
      <c r="G149" s="21" t="n">
        <f aca="false">IF(D149=0,0,F149/D149)</f>
        <v>-0.165833333333333</v>
      </c>
      <c r="H149" s="21" t="n">
        <f aca="false">IF(D149=0,0,E149/D149)</f>
        <v>0.834166666666667</v>
      </c>
      <c r="I149" s="21" t="n">
        <f aca="false">VLOOKUP(B149,Targets!$A$2:$D$43,3,FALSE())</f>
        <v>0.85</v>
      </c>
      <c r="J149" s="22" t="n">
        <f aca="false">H149-I149</f>
        <v>-0.0158333333333334</v>
      </c>
      <c r="K149" s="2" t="str">
        <f aca="false">IF(J149&lt;-Targets!$F$2,"Under",IF(J149&gt;Targets!$F$2,"Over","On Track"))</f>
        <v>On Track</v>
      </c>
    </row>
    <row r="150" customFormat="false" ht="15" hidden="false" customHeight="false" outlineLevel="0" collapsed="false">
      <c r="A150" s="17" t="n">
        <v>46113</v>
      </c>
      <c r="B150" s="18" t="s">
        <v>64</v>
      </c>
      <c r="C150" s="2" t="str">
        <f aca="false">VLOOKUP(B150,Targets!$A$2:$D$43,2,FALSE())</f>
        <v>West</v>
      </c>
      <c r="D150" s="19" t="n">
        <v>1900</v>
      </c>
      <c r="E150" s="19" t="n">
        <v>1785</v>
      </c>
      <c r="F150" s="20" t="n">
        <f aca="false">E150-D150</f>
        <v>-115</v>
      </c>
      <c r="G150" s="21" t="n">
        <f aca="false">IF(D150=0,0,F150/D150)</f>
        <v>-0.0605263157894737</v>
      </c>
      <c r="H150" s="21" t="n">
        <f aca="false">IF(D150=0,0,E150/D150)</f>
        <v>0.939473684210526</v>
      </c>
      <c r="I150" s="21" t="n">
        <f aca="false">VLOOKUP(B150,Targets!$A$2:$D$43,3,FALSE())</f>
        <v>0.92</v>
      </c>
      <c r="J150" s="22" t="n">
        <f aca="false">H150-I150</f>
        <v>0.0194736842105263</v>
      </c>
      <c r="K150" s="2" t="str">
        <f aca="false">IF(J150&lt;-Targets!$F$2,"Under",IF(J150&gt;Targets!$F$2,"Over","On Track"))</f>
        <v>On Track</v>
      </c>
    </row>
    <row r="151" customFormat="false" ht="15" hidden="false" customHeight="false" outlineLevel="0" collapsed="false">
      <c r="A151" s="17" t="n">
        <v>46113</v>
      </c>
      <c r="B151" s="18" t="s">
        <v>65</v>
      </c>
      <c r="C151" s="2" t="str">
        <f aca="false">VLOOKUP(B151,Targets!$A$2:$D$43,2,FALSE())</f>
        <v>West</v>
      </c>
      <c r="D151" s="19" t="n">
        <v>900</v>
      </c>
      <c r="E151" s="19" t="n">
        <v>934</v>
      </c>
      <c r="F151" s="20" t="n">
        <f aca="false">E151-D151</f>
        <v>34</v>
      </c>
      <c r="G151" s="21" t="n">
        <f aca="false">IF(D151=0,0,F151/D151)</f>
        <v>0.0377777777777778</v>
      </c>
      <c r="H151" s="21" t="n">
        <f aca="false">IF(D151=0,0,E151/D151)</f>
        <v>1.03777777777778</v>
      </c>
      <c r="I151" s="21" t="n">
        <f aca="false">VLOOKUP(B151,Targets!$A$2:$D$43,3,FALSE())</f>
        <v>0.92</v>
      </c>
      <c r="J151" s="22" t="n">
        <f aca="false">H151-I151</f>
        <v>0.117777777777778</v>
      </c>
      <c r="K151" s="2" t="str">
        <f aca="false">IF(J151&lt;-Targets!$F$2,"Under",IF(J151&gt;Targets!$F$2,"Over","On Track"))</f>
        <v>Over</v>
      </c>
    </row>
    <row r="152" customFormat="false" ht="15" hidden="false" customHeight="false" outlineLevel="0" collapsed="false">
      <c r="A152" s="17" t="n">
        <v>46113</v>
      </c>
      <c r="B152" s="18" t="s">
        <v>66</v>
      </c>
      <c r="C152" s="2" t="str">
        <f aca="false">VLOOKUP(B152,Targets!$A$2:$D$43,2,FALSE())</f>
        <v>West</v>
      </c>
      <c r="D152" s="19" t="n">
        <v>1450</v>
      </c>
      <c r="E152" s="19" t="n">
        <v>1448</v>
      </c>
      <c r="F152" s="20" t="n">
        <f aca="false">E152-D152</f>
        <v>-2</v>
      </c>
      <c r="G152" s="21" t="n">
        <f aca="false">IF(D152=0,0,F152/D152)</f>
        <v>-0.00137931034482759</v>
      </c>
      <c r="H152" s="21" t="n">
        <f aca="false">IF(D152=0,0,E152/D152)</f>
        <v>0.998620689655172</v>
      </c>
      <c r="I152" s="21" t="n">
        <f aca="false">VLOOKUP(B152,Targets!$A$2:$D$43,3,FALSE())</f>
        <v>0.92</v>
      </c>
      <c r="J152" s="22" t="n">
        <f aca="false">H152-I152</f>
        <v>0.0786206896551723</v>
      </c>
      <c r="K152" s="2" t="str">
        <f aca="false">IF(J152&lt;-Targets!$F$2,"Under",IF(J152&gt;Targets!$F$2,"Over","On Track"))</f>
        <v>Over</v>
      </c>
    </row>
    <row r="153" customFormat="false" ht="15" hidden="false" customHeight="false" outlineLevel="0" collapsed="false">
      <c r="A153" s="17" t="n">
        <v>46113</v>
      </c>
      <c r="B153" s="18" t="s">
        <v>67</v>
      </c>
      <c r="C153" s="2" t="str">
        <f aca="false">VLOOKUP(B153,Targets!$A$2:$D$43,2,FALSE())</f>
        <v>West</v>
      </c>
      <c r="D153" s="19" t="n">
        <v>1950</v>
      </c>
      <c r="E153" s="19" t="n">
        <v>1707</v>
      </c>
      <c r="F153" s="20" t="n">
        <f aca="false">E153-D153</f>
        <v>-243</v>
      </c>
      <c r="G153" s="21" t="n">
        <f aca="false">IF(D153=0,0,F153/D153)</f>
        <v>-0.124615384615385</v>
      </c>
      <c r="H153" s="21" t="n">
        <f aca="false">IF(D153=0,0,E153/D153)</f>
        <v>0.875384615384615</v>
      </c>
      <c r="I153" s="21" t="n">
        <f aca="false">VLOOKUP(B153,Targets!$A$2:$D$43,3,FALSE())</f>
        <v>0.92</v>
      </c>
      <c r="J153" s="22" t="n">
        <f aca="false">H153-I153</f>
        <v>-0.0446153846153846</v>
      </c>
      <c r="K153" s="2" t="str">
        <f aca="false">IF(J153&lt;-Targets!$F$2,"Under",IF(J153&gt;Targets!$F$2,"Over","On Track"))</f>
        <v>On Track</v>
      </c>
    </row>
    <row r="154" customFormat="false" ht="15" hidden="false" customHeight="false" outlineLevel="0" collapsed="false">
      <c r="A154" s="17" t="n">
        <v>46113</v>
      </c>
      <c r="B154" s="18" t="s">
        <v>68</v>
      </c>
      <c r="C154" s="2" t="str">
        <f aca="false">VLOOKUP(B154,Targets!$A$2:$D$43,2,FALSE())</f>
        <v>West</v>
      </c>
      <c r="D154" s="19" t="n">
        <v>2650</v>
      </c>
      <c r="E154" s="19" t="n">
        <v>2475</v>
      </c>
      <c r="F154" s="20" t="n">
        <f aca="false">E154-D154</f>
        <v>-175</v>
      </c>
      <c r="G154" s="21" t="n">
        <f aca="false">IF(D154=0,0,F154/D154)</f>
        <v>-0.0660377358490566</v>
      </c>
      <c r="H154" s="21" t="n">
        <f aca="false">IF(D154=0,0,E154/D154)</f>
        <v>0.933962264150943</v>
      </c>
      <c r="I154" s="21" t="n">
        <f aca="false">VLOOKUP(B154,Targets!$A$2:$D$43,3,FALSE())</f>
        <v>0.9</v>
      </c>
      <c r="J154" s="22" t="n">
        <f aca="false">H154-I154</f>
        <v>0.0339622641509434</v>
      </c>
      <c r="K154" s="2" t="str">
        <f aca="false">IF(J154&lt;-Targets!$F$2,"Under",IF(J154&gt;Targets!$F$2,"Over","On Track"))</f>
        <v>On Track</v>
      </c>
    </row>
    <row r="155" customFormat="false" ht="15" hidden="false" customHeight="false" outlineLevel="0" collapsed="false">
      <c r="A155" s="17" t="n">
        <v>46113</v>
      </c>
      <c r="B155" s="18" t="s">
        <v>69</v>
      </c>
      <c r="C155" s="2" t="str">
        <f aca="false">VLOOKUP(B155,Targets!$A$2:$D$43,2,FALSE())</f>
        <v>West</v>
      </c>
      <c r="D155" s="19" t="n">
        <v>2250</v>
      </c>
      <c r="E155" s="19" t="n">
        <v>2190</v>
      </c>
      <c r="F155" s="20" t="n">
        <f aca="false">E155-D155</f>
        <v>-60</v>
      </c>
      <c r="G155" s="21" t="n">
        <f aca="false">IF(D155=0,0,F155/D155)</f>
        <v>-0.0266666666666667</v>
      </c>
      <c r="H155" s="21" t="n">
        <f aca="false">IF(D155=0,0,E155/D155)</f>
        <v>0.973333333333333</v>
      </c>
      <c r="I155" s="21" t="n">
        <f aca="false">VLOOKUP(B155,Targets!$A$2:$D$43,3,FALSE())</f>
        <v>0.92</v>
      </c>
      <c r="J155" s="22" t="n">
        <f aca="false">H155-I155</f>
        <v>0.0533333333333333</v>
      </c>
      <c r="K155" s="2" t="str">
        <f aca="false">IF(J155&lt;-Targets!$F$2,"Under",IF(J155&gt;Targets!$F$2,"Over","On Track"))</f>
        <v>Over</v>
      </c>
    </row>
    <row r="156" customFormat="false" ht="15" hidden="false" customHeight="false" outlineLevel="0" collapsed="false">
      <c r="A156" s="17" t="n">
        <v>46113</v>
      </c>
      <c r="B156" s="18" t="s">
        <v>70</v>
      </c>
      <c r="C156" s="2" t="str">
        <f aca="false">VLOOKUP(B156,Targets!$A$2:$D$43,2,FALSE())</f>
        <v>Central</v>
      </c>
      <c r="D156" s="19" t="n">
        <v>1850</v>
      </c>
      <c r="E156" s="19" t="n">
        <v>1649</v>
      </c>
      <c r="F156" s="20" t="n">
        <f aca="false">E156-D156</f>
        <v>-201</v>
      </c>
      <c r="G156" s="21" t="n">
        <f aca="false">IF(D156=0,0,F156/D156)</f>
        <v>-0.108648648648649</v>
      </c>
      <c r="H156" s="21" t="n">
        <f aca="false">IF(D156=0,0,E156/D156)</f>
        <v>0.891351351351351</v>
      </c>
      <c r="I156" s="21" t="n">
        <f aca="false">VLOOKUP(B156,Targets!$A$2:$D$43,3,FALSE())</f>
        <v>0.9</v>
      </c>
      <c r="J156" s="22" t="n">
        <f aca="false">H156-I156</f>
        <v>-0.00864864864864867</v>
      </c>
      <c r="K156" s="2" t="str">
        <f aca="false">IF(J156&lt;-Targets!$F$2,"Under",IF(J156&gt;Targets!$F$2,"Over","On Track"))</f>
        <v>On Track</v>
      </c>
    </row>
    <row r="157" customFormat="false" ht="15" hidden="false" customHeight="false" outlineLevel="0" collapsed="false">
      <c r="A157" s="17" t="n">
        <v>46113</v>
      </c>
      <c r="B157" s="18" t="s">
        <v>71</v>
      </c>
      <c r="C157" s="2" t="str">
        <f aca="false">VLOOKUP(B157,Targets!$A$2:$D$43,2,FALSE())</f>
        <v>Central</v>
      </c>
      <c r="D157" s="19" t="n">
        <v>1300</v>
      </c>
      <c r="E157" s="19" t="n">
        <v>1075</v>
      </c>
      <c r="F157" s="20" t="n">
        <f aca="false">E157-D157</f>
        <v>-225</v>
      </c>
      <c r="G157" s="21" t="n">
        <f aca="false">IF(D157=0,0,F157/D157)</f>
        <v>-0.173076923076923</v>
      </c>
      <c r="H157" s="21" t="n">
        <f aca="false">IF(D157=0,0,E157/D157)</f>
        <v>0.826923076923077</v>
      </c>
      <c r="I157" s="21" t="n">
        <f aca="false">VLOOKUP(B157,Targets!$A$2:$D$43,3,FALSE())</f>
        <v>0.85</v>
      </c>
      <c r="J157" s="22" t="n">
        <f aca="false">H157-I157</f>
        <v>-0.0230769230769231</v>
      </c>
      <c r="K157" s="2" t="str">
        <f aca="false">IF(J157&lt;-Targets!$F$2,"Under",IF(J157&gt;Targets!$F$2,"Over","On Track"))</f>
        <v>On Track</v>
      </c>
    </row>
    <row r="158" customFormat="false" ht="15" hidden="false" customHeight="false" outlineLevel="0" collapsed="false">
      <c r="A158" s="17" t="n">
        <v>46113</v>
      </c>
      <c r="B158" s="18" t="s">
        <v>72</v>
      </c>
      <c r="C158" s="2" t="str">
        <f aca="false">VLOOKUP(B158,Targets!$A$2:$D$43,2,FALSE())</f>
        <v>Central</v>
      </c>
      <c r="D158" s="19" t="n">
        <v>2700</v>
      </c>
      <c r="E158" s="19" t="n">
        <v>2100</v>
      </c>
      <c r="F158" s="20" t="n">
        <f aca="false">E158-D158</f>
        <v>-600</v>
      </c>
      <c r="G158" s="21" t="n">
        <f aca="false">IF(D158=0,0,F158/D158)</f>
        <v>-0.222222222222222</v>
      </c>
      <c r="H158" s="21" t="n">
        <f aca="false">IF(D158=0,0,E158/D158)</f>
        <v>0.777777777777778</v>
      </c>
      <c r="I158" s="21" t="n">
        <f aca="false">VLOOKUP(B158,Targets!$A$2:$D$43,3,FALSE())</f>
        <v>0.85</v>
      </c>
      <c r="J158" s="22" t="n">
        <f aca="false">H158-I158</f>
        <v>-0.0722222222222222</v>
      </c>
      <c r="K158" s="2" t="str">
        <f aca="false">IF(J158&lt;-Targets!$F$2,"Under",IF(J158&gt;Targets!$F$2,"Over","On Track"))</f>
        <v>Under</v>
      </c>
    </row>
    <row r="159" customFormat="false" ht="15" hidden="false" customHeight="false" outlineLevel="0" collapsed="false">
      <c r="A159" s="17" t="n">
        <v>46113</v>
      </c>
      <c r="B159" s="18" t="s">
        <v>73</v>
      </c>
      <c r="C159" s="2" t="str">
        <f aca="false">VLOOKUP(B159,Targets!$A$2:$D$43,2,FALSE())</f>
        <v>Central</v>
      </c>
      <c r="D159" s="19" t="n">
        <v>1300</v>
      </c>
      <c r="E159" s="19" t="n">
        <v>1080</v>
      </c>
      <c r="F159" s="20" t="n">
        <f aca="false">E159-D159</f>
        <v>-220</v>
      </c>
      <c r="G159" s="21" t="n">
        <f aca="false">IF(D159=0,0,F159/D159)</f>
        <v>-0.169230769230769</v>
      </c>
      <c r="H159" s="21" t="n">
        <f aca="false">IF(D159=0,0,E159/D159)</f>
        <v>0.830769230769231</v>
      </c>
      <c r="I159" s="21" t="n">
        <f aca="false">VLOOKUP(B159,Targets!$A$2:$D$43,3,FALSE())</f>
        <v>0.85</v>
      </c>
      <c r="J159" s="22" t="n">
        <f aca="false">H159-I159</f>
        <v>-0.0192307692307692</v>
      </c>
      <c r="K159" s="2" t="str">
        <f aca="false">IF(J159&lt;-Targets!$F$2,"Under",IF(J159&gt;Targets!$F$2,"Over","On Track"))</f>
        <v>On Track</v>
      </c>
    </row>
    <row r="160" customFormat="false" ht="15" hidden="false" customHeight="false" outlineLevel="0" collapsed="false">
      <c r="A160" s="17" t="n">
        <v>46113</v>
      </c>
      <c r="B160" s="18" t="s">
        <v>74</v>
      </c>
      <c r="C160" s="2" t="str">
        <f aca="false">VLOOKUP(B160,Targets!$A$2:$D$43,2,FALSE())</f>
        <v>Central</v>
      </c>
      <c r="D160" s="19" t="n">
        <v>2550</v>
      </c>
      <c r="E160" s="19" t="n">
        <v>1995</v>
      </c>
      <c r="F160" s="20" t="n">
        <f aca="false">E160-D160</f>
        <v>-555</v>
      </c>
      <c r="G160" s="21" t="n">
        <f aca="false">IF(D160=0,0,F160/D160)</f>
        <v>-0.217647058823529</v>
      </c>
      <c r="H160" s="21" t="n">
        <f aca="false">IF(D160=0,0,E160/D160)</f>
        <v>0.782352941176471</v>
      </c>
      <c r="I160" s="21" t="n">
        <f aca="false">VLOOKUP(B160,Targets!$A$2:$D$43,3,FALSE())</f>
        <v>0.85</v>
      </c>
      <c r="J160" s="22" t="n">
        <f aca="false">H160-I160</f>
        <v>-0.0676470588235294</v>
      </c>
      <c r="K160" s="2" t="str">
        <f aca="false">IF(J160&lt;-Targets!$F$2,"Under",IF(J160&gt;Targets!$F$2,"Over","On Track"))</f>
        <v>Under</v>
      </c>
    </row>
    <row r="161" customFormat="false" ht="15" hidden="false" customHeight="false" outlineLevel="0" collapsed="false">
      <c r="A161" s="17" t="n">
        <v>46113</v>
      </c>
      <c r="B161" s="18" t="s">
        <v>75</v>
      </c>
      <c r="C161" s="2" t="str">
        <f aca="false">VLOOKUP(B161,Targets!$A$2:$D$43,2,FALSE())</f>
        <v>Central</v>
      </c>
      <c r="D161" s="19" t="n">
        <v>2000</v>
      </c>
      <c r="E161" s="19" t="n">
        <v>1456</v>
      </c>
      <c r="F161" s="20" t="n">
        <f aca="false">E161-D161</f>
        <v>-544</v>
      </c>
      <c r="G161" s="21" t="n">
        <f aca="false">IF(D161=0,0,F161/D161)</f>
        <v>-0.272</v>
      </c>
      <c r="H161" s="21" t="n">
        <f aca="false">IF(D161=0,0,E161/D161)</f>
        <v>0.728</v>
      </c>
      <c r="I161" s="21" t="n">
        <f aca="false">VLOOKUP(B161,Targets!$A$2:$D$43,3,FALSE())</f>
        <v>0.88</v>
      </c>
      <c r="J161" s="22" t="n">
        <f aca="false">H161-I161</f>
        <v>-0.152</v>
      </c>
      <c r="K161" s="2" t="str">
        <f aca="false">IF(J161&lt;-Targets!$F$2,"Under",IF(J161&gt;Targets!$F$2,"Over","On Track"))</f>
        <v>Under</v>
      </c>
    </row>
    <row r="162" customFormat="false" ht="15" hidden="false" customHeight="false" outlineLevel="0" collapsed="false">
      <c r="A162" s="17" t="n">
        <v>46113</v>
      </c>
      <c r="B162" s="18" t="s">
        <v>76</v>
      </c>
      <c r="C162" s="2" t="str">
        <f aca="false">VLOOKUP(B162,Targets!$A$2:$D$43,2,FALSE())</f>
        <v>Central</v>
      </c>
      <c r="D162" s="19" t="n">
        <v>2150</v>
      </c>
      <c r="E162" s="19" t="n">
        <v>1773</v>
      </c>
      <c r="F162" s="20" t="n">
        <f aca="false">E162-D162</f>
        <v>-377</v>
      </c>
      <c r="G162" s="21" t="n">
        <f aca="false">IF(D162=0,0,F162/D162)</f>
        <v>-0.175348837209302</v>
      </c>
      <c r="H162" s="21" t="n">
        <f aca="false">IF(D162=0,0,E162/D162)</f>
        <v>0.824651162790698</v>
      </c>
      <c r="I162" s="21" t="n">
        <f aca="false">VLOOKUP(B162,Targets!$A$2:$D$43,3,FALSE())</f>
        <v>0.9</v>
      </c>
      <c r="J162" s="22" t="n">
        <f aca="false">H162-I162</f>
        <v>-0.0753488372093023</v>
      </c>
      <c r="K162" s="2" t="str">
        <f aca="false">IF(J162&lt;-Targets!$F$2,"Under",IF(J162&gt;Targets!$F$2,"Over","On Track"))</f>
        <v>Under</v>
      </c>
    </row>
    <row r="163" customFormat="false" ht="15" hidden="false" customHeight="false" outlineLevel="0" collapsed="false">
      <c r="A163" s="17" t="n">
        <v>46113</v>
      </c>
      <c r="B163" s="18" t="s">
        <v>77</v>
      </c>
      <c r="C163" s="2" t="str">
        <f aca="false">VLOOKUP(B163,Targets!$A$2:$D$43,2,FALSE())</f>
        <v>North-East</v>
      </c>
      <c r="D163" s="19" t="n">
        <v>1750</v>
      </c>
      <c r="E163" s="19" t="n">
        <v>1357</v>
      </c>
      <c r="F163" s="20" t="n">
        <f aca="false">E163-D163</f>
        <v>-393</v>
      </c>
      <c r="G163" s="21" t="n">
        <f aca="false">IF(D163=0,0,F163/D163)</f>
        <v>-0.224571428571429</v>
      </c>
      <c r="H163" s="21" t="n">
        <f aca="false">IF(D163=0,0,E163/D163)</f>
        <v>0.775428571428572</v>
      </c>
      <c r="I163" s="21" t="n">
        <f aca="false">VLOOKUP(B163,Targets!$A$2:$D$43,3,FALSE())</f>
        <v>0.88</v>
      </c>
      <c r="J163" s="22" t="n">
        <f aca="false">H163-I163</f>
        <v>-0.104571428571429</v>
      </c>
      <c r="K163" s="2" t="str">
        <f aca="false">IF(J163&lt;-Targets!$F$2,"Under",IF(J163&gt;Targets!$F$2,"Over","On Track"))</f>
        <v>Under</v>
      </c>
    </row>
    <row r="164" customFormat="false" ht="15" hidden="false" customHeight="false" outlineLevel="0" collapsed="false">
      <c r="A164" s="17" t="n">
        <v>46113</v>
      </c>
      <c r="B164" s="18" t="s">
        <v>78</v>
      </c>
      <c r="C164" s="2" t="str">
        <f aca="false">VLOOKUP(B164,Targets!$A$2:$D$43,2,FALSE())</f>
        <v>North-East</v>
      </c>
      <c r="D164" s="19" t="n">
        <v>1350</v>
      </c>
      <c r="E164" s="19" t="n">
        <v>1212</v>
      </c>
      <c r="F164" s="20" t="n">
        <f aca="false">E164-D164</f>
        <v>-138</v>
      </c>
      <c r="G164" s="21" t="n">
        <f aca="false">IF(D164=0,0,F164/D164)</f>
        <v>-0.102222222222222</v>
      </c>
      <c r="H164" s="21" t="n">
        <f aca="false">IF(D164=0,0,E164/D164)</f>
        <v>0.897777777777778</v>
      </c>
      <c r="I164" s="21" t="n">
        <f aca="false">VLOOKUP(B164,Targets!$A$2:$D$43,3,FALSE())</f>
        <v>0.92</v>
      </c>
      <c r="J164" s="22" t="n">
        <f aca="false">H164-I164</f>
        <v>-0.0222222222222223</v>
      </c>
      <c r="K164" s="2" t="str">
        <f aca="false">IF(J164&lt;-Targets!$F$2,"Under",IF(J164&gt;Targets!$F$2,"Over","On Track"))</f>
        <v>On Track</v>
      </c>
    </row>
    <row r="165" customFormat="false" ht="15" hidden="false" customHeight="false" outlineLevel="0" collapsed="false">
      <c r="A165" s="17" t="n">
        <v>46113</v>
      </c>
      <c r="B165" s="18" t="s">
        <v>79</v>
      </c>
      <c r="C165" s="2" t="str">
        <f aca="false">VLOOKUP(B165,Targets!$A$2:$D$43,2,FALSE())</f>
        <v>North-East</v>
      </c>
      <c r="D165" s="19" t="n">
        <v>1250</v>
      </c>
      <c r="E165" s="19" t="n">
        <v>1129</v>
      </c>
      <c r="F165" s="20" t="n">
        <f aca="false">E165-D165</f>
        <v>-121</v>
      </c>
      <c r="G165" s="21" t="n">
        <f aca="false">IF(D165=0,0,F165/D165)</f>
        <v>-0.0968</v>
      </c>
      <c r="H165" s="21" t="n">
        <f aca="false">IF(D165=0,0,E165/D165)</f>
        <v>0.9032</v>
      </c>
      <c r="I165" s="21" t="n">
        <f aca="false">VLOOKUP(B165,Targets!$A$2:$D$43,3,FALSE())</f>
        <v>0.92</v>
      </c>
      <c r="J165" s="22" t="n">
        <f aca="false">H165-I165</f>
        <v>-0.0168</v>
      </c>
      <c r="K165" s="2" t="str">
        <f aca="false">IF(J165&lt;-Targets!$F$2,"Under",IF(J165&gt;Targets!$F$2,"Over","On Track"))</f>
        <v>On Track</v>
      </c>
    </row>
    <row r="166" customFormat="false" ht="15" hidden="false" customHeight="false" outlineLevel="0" collapsed="false">
      <c r="A166" s="17" t="n">
        <v>46113</v>
      </c>
      <c r="B166" s="18" t="s">
        <v>80</v>
      </c>
      <c r="C166" s="2" t="str">
        <f aca="false">VLOOKUP(B166,Targets!$A$2:$D$43,2,FALSE())</f>
        <v>North-East</v>
      </c>
      <c r="D166" s="19" t="n">
        <v>2350</v>
      </c>
      <c r="E166" s="19" t="n">
        <v>1781</v>
      </c>
      <c r="F166" s="20" t="n">
        <f aca="false">E166-D166</f>
        <v>-569</v>
      </c>
      <c r="G166" s="21" t="n">
        <f aca="false">IF(D166=0,0,F166/D166)</f>
        <v>-0.242127659574468</v>
      </c>
      <c r="H166" s="21" t="n">
        <f aca="false">IF(D166=0,0,E166/D166)</f>
        <v>0.757872340425532</v>
      </c>
      <c r="I166" s="21" t="n">
        <f aca="false">VLOOKUP(B166,Targets!$A$2:$D$43,3,FALSE())</f>
        <v>0.88</v>
      </c>
      <c r="J166" s="22" t="n">
        <f aca="false">H166-I166</f>
        <v>-0.122127659574468</v>
      </c>
      <c r="K166" s="2" t="str">
        <f aca="false">IF(J166&lt;-Targets!$F$2,"Under",IF(J166&gt;Targets!$F$2,"Over","On Track"))</f>
        <v>Under</v>
      </c>
    </row>
    <row r="167" customFormat="false" ht="15" hidden="false" customHeight="false" outlineLevel="0" collapsed="false">
      <c r="A167" s="17" t="n">
        <v>46113</v>
      </c>
      <c r="B167" s="18" t="s">
        <v>81</v>
      </c>
      <c r="C167" s="2" t="str">
        <f aca="false">VLOOKUP(B167,Targets!$A$2:$D$43,2,FALSE())</f>
        <v>North-East</v>
      </c>
      <c r="D167" s="19" t="n">
        <v>1500</v>
      </c>
      <c r="E167" s="19" t="n">
        <v>1228</v>
      </c>
      <c r="F167" s="20" t="n">
        <f aca="false">E167-D167</f>
        <v>-272</v>
      </c>
      <c r="G167" s="21" t="n">
        <f aca="false">IF(D167=0,0,F167/D167)</f>
        <v>-0.181333333333333</v>
      </c>
      <c r="H167" s="21" t="n">
        <f aca="false">IF(D167=0,0,E167/D167)</f>
        <v>0.818666666666667</v>
      </c>
      <c r="I167" s="21" t="n">
        <f aca="false">VLOOKUP(B167,Targets!$A$2:$D$43,3,FALSE())</f>
        <v>0.88</v>
      </c>
      <c r="J167" s="22" t="n">
        <f aca="false">H167-I167</f>
        <v>-0.0613333333333334</v>
      </c>
      <c r="K167" s="2" t="str">
        <f aca="false">IF(J167&lt;-Targets!$F$2,"Under",IF(J167&gt;Targets!$F$2,"Over","On Track"))</f>
        <v>Under</v>
      </c>
    </row>
    <row r="168" customFormat="false" ht="15" hidden="false" customHeight="false" outlineLevel="0" collapsed="false">
      <c r="A168" s="17" t="n">
        <v>46113</v>
      </c>
      <c r="B168" s="18" t="s">
        <v>82</v>
      </c>
      <c r="C168" s="2" t="str">
        <f aca="false">VLOOKUP(B168,Targets!$A$2:$D$43,2,FALSE())</f>
        <v>North-East</v>
      </c>
      <c r="D168" s="19" t="n">
        <v>900</v>
      </c>
      <c r="E168" s="19" t="n">
        <v>706</v>
      </c>
      <c r="F168" s="20" t="n">
        <f aca="false">E168-D168</f>
        <v>-194</v>
      </c>
      <c r="G168" s="21" t="n">
        <f aca="false">IF(D168=0,0,F168/D168)</f>
        <v>-0.215555555555556</v>
      </c>
      <c r="H168" s="21" t="n">
        <f aca="false">IF(D168=0,0,E168/D168)</f>
        <v>0.784444444444445</v>
      </c>
      <c r="I168" s="21" t="n">
        <f aca="false">VLOOKUP(B168,Targets!$A$2:$D$43,3,FALSE())</f>
        <v>0.85</v>
      </c>
      <c r="J168" s="22" t="n">
        <f aca="false">H168-I168</f>
        <v>-0.0655555555555555</v>
      </c>
      <c r="K168" s="2" t="str">
        <f aca="false">IF(J168&lt;-Targets!$F$2,"Under",IF(J168&gt;Targets!$F$2,"Over","On Track"))</f>
        <v>Under</v>
      </c>
    </row>
    <row r="169" customFormat="false" ht="15" hidden="false" customHeight="false" outlineLevel="0" collapsed="false">
      <c r="A169" s="17" t="n">
        <v>46113</v>
      </c>
      <c r="B169" s="18" t="s">
        <v>83</v>
      </c>
      <c r="C169" s="2" t="str">
        <f aca="false">VLOOKUP(B169,Targets!$A$2:$D$43,2,FALSE())</f>
        <v>North-East</v>
      </c>
      <c r="D169" s="19" t="n">
        <v>1300</v>
      </c>
      <c r="E169" s="19" t="n">
        <v>960</v>
      </c>
      <c r="F169" s="20" t="n">
        <f aca="false">E169-D169</f>
        <v>-340</v>
      </c>
      <c r="G169" s="21" t="n">
        <f aca="false">IF(D169=0,0,F169/D169)</f>
        <v>-0.261538461538462</v>
      </c>
      <c r="H169" s="21" t="n">
        <f aca="false">IF(D169=0,0,E169/D169)</f>
        <v>0.738461538461539</v>
      </c>
      <c r="I169" s="21" t="n">
        <f aca="false">VLOOKUP(B169,Targets!$A$2:$D$43,3,FALSE())</f>
        <v>0.88</v>
      </c>
      <c r="J169" s="22" t="n">
        <f aca="false">H169-I169</f>
        <v>-0.141538461538462</v>
      </c>
      <c r="K169" s="2" t="str">
        <f aca="false">IF(J169&lt;-Targets!$F$2,"Under",IF(J169&gt;Targets!$F$2,"Over","On Track"))</f>
        <v>Under</v>
      </c>
    </row>
    <row r="170" customFormat="false" ht="15" hidden="false" customHeight="false" outlineLevel="0" collapsed="false">
      <c r="A170" s="17" t="n">
        <v>46143</v>
      </c>
      <c r="B170" s="18" t="s">
        <v>41</v>
      </c>
      <c r="C170" s="2" t="str">
        <f aca="false">VLOOKUP(B170,Targets!$A$2:$D$43,2,FALSE())</f>
        <v>North</v>
      </c>
      <c r="D170" s="19" t="n">
        <v>2700</v>
      </c>
      <c r="E170" s="19" t="n">
        <v>2099</v>
      </c>
      <c r="F170" s="20" t="n">
        <f aca="false">E170-D170</f>
        <v>-601</v>
      </c>
      <c r="G170" s="21" t="n">
        <f aca="false">IF(D170=0,0,F170/D170)</f>
        <v>-0.222592592592593</v>
      </c>
      <c r="H170" s="21" t="n">
        <f aca="false">IF(D170=0,0,E170/D170)</f>
        <v>0.777407407407407</v>
      </c>
      <c r="I170" s="21" t="n">
        <f aca="false">VLOOKUP(B170,Targets!$A$2:$D$43,3,FALSE())</f>
        <v>0.88</v>
      </c>
      <c r="J170" s="22" t="n">
        <f aca="false">H170-I170</f>
        <v>-0.102592592592593</v>
      </c>
      <c r="K170" s="2" t="str">
        <f aca="false">IF(J170&lt;-Targets!$F$2,"Under",IF(J170&gt;Targets!$F$2,"Over","On Track"))</f>
        <v>Under</v>
      </c>
    </row>
    <row r="171" customFormat="false" ht="15" hidden="false" customHeight="false" outlineLevel="0" collapsed="false">
      <c r="A171" s="17" t="n">
        <v>46143</v>
      </c>
      <c r="B171" s="18" t="s">
        <v>42</v>
      </c>
      <c r="C171" s="2" t="str">
        <f aca="false">VLOOKUP(B171,Targets!$A$2:$D$43,2,FALSE())</f>
        <v>North</v>
      </c>
      <c r="D171" s="19" t="n">
        <v>2300</v>
      </c>
      <c r="E171" s="19" t="n">
        <v>2013</v>
      </c>
      <c r="F171" s="20" t="n">
        <f aca="false">E171-D171</f>
        <v>-287</v>
      </c>
      <c r="G171" s="21" t="n">
        <f aca="false">IF(D171=0,0,F171/D171)</f>
        <v>-0.124782608695652</v>
      </c>
      <c r="H171" s="21" t="n">
        <f aca="false">IF(D171=0,0,E171/D171)</f>
        <v>0.875217391304348</v>
      </c>
      <c r="I171" s="21" t="n">
        <f aca="false">VLOOKUP(B171,Targets!$A$2:$D$43,3,FALSE())</f>
        <v>0.88</v>
      </c>
      <c r="J171" s="22" t="n">
        <f aca="false">H171-I171</f>
        <v>-0.00478260869565217</v>
      </c>
      <c r="K171" s="2" t="str">
        <f aca="false">IF(J171&lt;-Targets!$F$2,"Under",IF(J171&gt;Targets!$F$2,"Over","On Track"))</f>
        <v>On Track</v>
      </c>
    </row>
    <row r="172" customFormat="false" ht="15" hidden="false" customHeight="false" outlineLevel="0" collapsed="false">
      <c r="A172" s="17" t="n">
        <v>46143</v>
      </c>
      <c r="B172" s="18" t="s">
        <v>44</v>
      </c>
      <c r="C172" s="2" t="str">
        <f aca="false">VLOOKUP(B172,Targets!$A$2:$D$43,2,FALSE())</f>
        <v>North</v>
      </c>
      <c r="D172" s="19" t="n">
        <v>2550</v>
      </c>
      <c r="E172" s="19" t="n">
        <v>2261</v>
      </c>
      <c r="F172" s="20" t="n">
        <f aca="false">E172-D172</f>
        <v>-289</v>
      </c>
      <c r="G172" s="21" t="n">
        <f aca="false">IF(D172=0,0,F172/D172)</f>
        <v>-0.113333333333333</v>
      </c>
      <c r="H172" s="21" t="n">
        <f aca="false">IF(D172=0,0,E172/D172)</f>
        <v>0.886666666666667</v>
      </c>
      <c r="I172" s="21" t="n">
        <f aca="false">VLOOKUP(B172,Targets!$A$2:$D$43,3,FALSE())</f>
        <v>0.88</v>
      </c>
      <c r="J172" s="22" t="n">
        <f aca="false">H172-I172</f>
        <v>0.00666666666666671</v>
      </c>
      <c r="K172" s="2" t="str">
        <f aca="false">IF(J172&lt;-Targets!$F$2,"Under",IF(J172&gt;Targets!$F$2,"Over","On Track"))</f>
        <v>On Track</v>
      </c>
    </row>
    <row r="173" customFormat="false" ht="15" hidden="false" customHeight="false" outlineLevel="0" collapsed="false">
      <c r="A173" s="17" t="n">
        <v>46143</v>
      </c>
      <c r="B173" s="18" t="s">
        <v>45</v>
      </c>
      <c r="C173" s="2" t="str">
        <f aca="false">VLOOKUP(B173,Targets!$A$2:$D$43,2,FALSE())</f>
        <v>North</v>
      </c>
      <c r="D173" s="19" t="n">
        <v>1120</v>
      </c>
      <c r="E173" s="19" t="n">
        <v>952</v>
      </c>
      <c r="F173" s="20" t="n">
        <f aca="false">E173-D173</f>
        <v>-168</v>
      </c>
      <c r="G173" s="21" t="n">
        <f aca="false">IF(D173=0,0,F173/D173)</f>
        <v>-0.15</v>
      </c>
      <c r="H173" s="21" t="n">
        <f aca="false">IF(D173=0,0,E173/D173)</f>
        <v>0.85</v>
      </c>
      <c r="I173" s="21" t="n">
        <f aca="false">VLOOKUP(B173,Targets!$A$2:$D$43,3,FALSE())</f>
        <v>0.88</v>
      </c>
      <c r="J173" s="22" t="n">
        <f aca="false">H173-I173</f>
        <v>-0.03</v>
      </c>
      <c r="K173" s="2" t="str">
        <f aca="false">IF(J173&lt;-Targets!$F$2,"Under",IF(J173&gt;Targets!$F$2,"Over","On Track"))</f>
        <v>On Track</v>
      </c>
    </row>
    <row r="174" customFormat="false" ht="15" hidden="false" customHeight="false" outlineLevel="0" collapsed="false">
      <c r="A174" s="17" t="n">
        <v>46143</v>
      </c>
      <c r="B174" s="18" t="s">
        <v>46</v>
      </c>
      <c r="C174" s="2" t="str">
        <f aca="false">VLOOKUP(B174,Targets!$A$2:$D$43,2,FALSE())</f>
        <v>North</v>
      </c>
      <c r="D174" s="19" t="n">
        <v>2400</v>
      </c>
      <c r="E174" s="19" t="n">
        <v>1787</v>
      </c>
      <c r="F174" s="20" t="n">
        <f aca="false">E174-D174</f>
        <v>-613</v>
      </c>
      <c r="G174" s="21" t="n">
        <f aca="false">IF(D174=0,0,F174/D174)</f>
        <v>-0.255416666666667</v>
      </c>
      <c r="H174" s="21" t="n">
        <f aca="false">IF(D174=0,0,E174/D174)</f>
        <v>0.744583333333333</v>
      </c>
      <c r="I174" s="21" t="n">
        <f aca="false">VLOOKUP(B174,Targets!$A$2:$D$43,3,FALSE())</f>
        <v>0.88</v>
      </c>
      <c r="J174" s="22" t="n">
        <f aca="false">H174-I174</f>
        <v>-0.135416666666667</v>
      </c>
      <c r="K174" s="2" t="str">
        <f aca="false">IF(J174&lt;-Targets!$F$2,"Under",IF(J174&gt;Targets!$F$2,"Over","On Track"))</f>
        <v>Under</v>
      </c>
    </row>
    <row r="175" customFormat="false" ht="15" hidden="false" customHeight="false" outlineLevel="0" collapsed="false">
      <c r="A175" s="17" t="n">
        <v>46143</v>
      </c>
      <c r="B175" s="18" t="s">
        <v>47</v>
      </c>
      <c r="C175" s="2" t="str">
        <f aca="false">VLOOKUP(B175,Targets!$A$2:$D$43,2,FALSE())</f>
        <v>North</v>
      </c>
      <c r="D175" s="19" t="n">
        <v>3210</v>
      </c>
      <c r="E175" s="19" t="n">
        <v>2884</v>
      </c>
      <c r="F175" s="20" t="n">
        <f aca="false">E175-D175</f>
        <v>-326</v>
      </c>
      <c r="G175" s="21" t="n">
        <f aca="false">IF(D175=0,0,F175/D175)</f>
        <v>-0.101557632398754</v>
      </c>
      <c r="H175" s="21" t="n">
        <f aca="false">IF(D175=0,0,E175/D175)</f>
        <v>0.898442367601246</v>
      </c>
      <c r="I175" s="21" t="n">
        <f aca="false">VLOOKUP(B175,Targets!$A$2:$D$43,3,FALSE())</f>
        <v>0.9</v>
      </c>
      <c r="J175" s="22" t="n">
        <f aca="false">H175-I175</f>
        <v>-0.00155763239875395</v>
      </c>
      <c r="K175" s="2" t="str">
        <f aca="false">IF(J175&lt;-Targets!$F$2,"Under",IF(J175&gt;Targets!$F$2,"Over","On Track"))</f>
        <v>On Track</v>
      </c>
    </row>
    <row r="176" customFormat="false" ht="15" hidden="false" customHeight="false" outlineLevel="0" collapsed="false">
      <c r="A176" s="17" t="n">
        <v>46143</v>
      </c>
      <c r="B176" s="18" t="s">
        <v>48</v>
      </c>
      <c r="C176" s="2" t="str">
        <f aca="false">VLOOKUP(B176,Targets!$A$2:$D$43,2,FALSE())</f>
        <v>North</v>
      </c>
      <c r="D176" s="19" t="n">
        <v>1890</v>
      </c>
      <c r="E176" s="19" t="n">
        <v>1552</v>
      </c>
      <c r="F176" s="20" t="n">
        <f aca="false">E176-D176</f>
        <v>-338</v>
      </c>
      <c r="G176" s="21" t="n">
        <f aca="false">IF(D176=0,0,F176/D176)</f>
        <v>-0.178835978835979</v>
      </c>
      <c r="H176" s="21" t="n">
        <f aca="false">IF(D176=0,0,E176/D176)</f>
        <v>0.821164021164021</v>
      </c>
      <c r="I176" s="21" t="n">
        <f aca="false">VLOOKUP(B176,Targets!$A$2:$D$43,3,FALSE())</f>
        <v>0.85</v>
      </c>
      <c r="J176" s="22" t="n">
        <f aca="false">H176-I176</f>
        <v>-0.0288359788359788</v>
      </c>
      <c r="K176" s="2" t="str">
        <f aca="false">IF(J176&lt;-Targets!$F$2,"Under",IF(J176&gt;Targets!$F$2,"Over","On Track"))</f>
        <v>On Track</v>
      </c>
    </row>
    <row r="177" customFormat="false" ht="15" hidden="false" customHeight="false" outlineLevel="0" collapsed="false">
      <c r="A177" s="17" t="n">
        <v>46143</v>
      </c>
      <c r="B177" s="18" t="s">
        <v>49</v>
      </c>
      <c r="C177" s="2" t="str">
        <f aca="false">VLOOKUP(B177,Targets!$A$2:$D$43,2,FALSE())</f>
        <v>South</v>
      </c>
      <c r="D177" s="19" t="n">
        <v>1170</v>
      </c>
      <c r="E177" s="19" t="n">
        <v>919</v>
      </c>
      <c r="F177" s="20" t="n">
        <f aca="false">E177-D177</f>
        <v>-251</v>
      </c>
      <c r="G177" s="21" t="n">
        <f aca="false">IF(D177=0,0,F177/D177)</f>
        <v>-0.214529914529915</v>
      </c>
      <c r="H177" s="21" t="n">
        <f aca="false">IF(D177=0,0,E177/D177)</f>
        <v>0.785470085470086</v>
      </c>
      <c r="I177" s="21" t="n">
        <f aca="false">VLOOKUP(B177,Targets!$A$2:$D$43,3,FALSE())</f>
        <v>0.92</v>
      </c>
      <c r="J177" s="22" t="n">
        <f aca="false">H177-I177</f>
        <v>-0.134529914529915</v>
      </c>
      <c r="K177" s="2" t="str">
        <f aca="false">IF(J177&lt;-Targets!$F$2,"Under",IF(J177&gt;Targets!$F$2,"Over","On Track"))</f>
        <v>Under</v>
      </c>
    </row>
    <row r="178" customFormat="false" ht="15" hidden="false" customHeight="false" outlineLevel="0" collapsed="false">
      <c r="A178" s="17" t="n">
        <v>46143</v>
      </c>
      <c r="B178" s="18" t="s">
        <v>50</v>
      </c>
      <c r="C178" s="2" t="str">
        <f aca="false">VLOOKUP(B178,Targets!$A$2:$D$43,2,FALSE())</f>
        <v>South</v>
      </c>
      <c r="D178" s="19" t="n">
        <v>3160</v>
      </c>
      <c r="E178" s="19" t="n">
        <v>2508</v>
      </c>
      <c r="F178" s="20" t="n">
        <f aca="false">E178-D178</f>
        <v>-652</v>
      </c>
      <c r="G178" s="21" t="n">
        <f aca="false">IF(D178=0,0,F178/D178)</f>
        <v>-0.206329113924051</v>
      </c>
      <c r="H178" s="21" t="n">
        <f aca="false">IF(D178=0,0,E178/D178)</f>
        <v>0.793670886075949</v>
      </c>
      <c r="I178" s="21" t="n">
        <f aca="false">VLOOKUP(B178,Targets!$A$2:$D$43,3,FALSE())</f>
        <v>0.9</v>
      </c>
      <c r="J178" s="22" t="n">
        <f aca="false">H178-I178</f>
        <v>-0.106329113924051</v>
      </c>
      <c r="K178" s="2" t="str">
        <f aca="false">IF(J178&lt;-Targets!$F$2,"Under",IF(J178&gt;Targets!$F$2,"Over","On Track"))</f>
        <v>Under</v>
      </c>
    </row>
    <row r="179" customFormat="false" ht="15" hidden="false" customHeight="false" outlineLevel="0" collapsed="false">
      <c r="A179" s="17" t="n">
        <v>46143</v>
      </c>
      <c r="B179" s="18" t="s">
        <v>51</v>
      </c>
      <c r="C179" s="2" t="str">
        <f aca="false">VLOOKUP(B179,Targets!$A$2:$D$43,2,FALSE())</f>
        <v>South</v>
      </c>
      <c r="D179" s="19" t="n">
        <v>2500</v>
      </c>
      <c r="E179" s="19" t="n">
        <v>1934</v>
      </c>
      <c r="F179" s="20" t="n">
        <f aca="false">E179-D179</f>
        <v>-566</v>
      </c>
      <c r="G179" s="21" t="n">
        <f aca="false">IF(D179=0,0,F179/D179)</f>
        <v>-0.2264</v>
      </c>
      <c r="H179" s="21" t="n">
        <f aca="false">IF(D179=0,0,E179/D179)</f>
        <v>0.7736</v>
      </c>
      <c r="I179" s="21" t="n">
        <f aca="false">VLOOKUP(B179,Targets!$A$2:$D$43,3,FALSE())</f>
        <v>0.92</v>
      </c>
      <c r="J179" s="22" t="n">
        <f aca="false">H179-I179</f>
        <v>-0.1464</v>
      </c>
      <c r="K179" s="2" t="str">
        <f aca="false">IF(J179&lt;-Targets!$F$2,"Under",IF(J179&gt;Targets!$F$2,"Over","On Track"))</f>
        <v>Under</v>
      </c>
    </row>
    <row r="180" customFormat="false" ht="15" hidden="false" customHeight="false" outlineLevel="0" collapsed="false">
      <c r="A180" s="17" t="n">
        <v>46143</v>
      </c>
      <c r="B180" s="18" t="s">
        <v>52</v>
      </c>
      <c r="C180" s="2" t="str">
        <f aca="false">VLOOKUP(B180,Targets!$A$2:$D$43,2,FALSE())</f>
        <v>South</v>
      </c>
      <c r="D180" s="19" t="n">
        <v>1380</v>
      </c>
      <c r="E180" s="19" t="n">
        <v>1184</v>
      </c>
      <c r="F180" s="20" t="n">
        <f aca="false">E180-D180</f>
        <v>-196</v>
      </c>
      <c r="G180" s="21" t="n">
        <f aca="false">IF(D180=0,0,F180/D180)</f>
        <v>-0.142028985507246</v>
      </c>
      <c r="H180" s="21" t="n">
        <f aca="false">IF(D180=0,0,E180/D180)</f>
        <v>0.857971014492754</v>
      </c>
      <c r="I180" s="21" t="n">
        <f aca="false">VLOOKUP(B180,Targets!$A$2:$D$43,3,FALSE())</f>
        <v>0.92</v>
      </c>
      <c r="J180" s="22" t="n">
        <f aca="false">H180-I180</f>
        <v>-0.0620289855072465</v>
      </c>
      <c r="K180" s="2" t="str">
        <f aca="false">IF(J180&lt;-Targets!$F$2,"Under",IF(J180&gt;Targets!$F$2,"Over","On Track"))</f>
        <v>Under</v>
      </c>
    </row>
    <row r="181" customFormat="false" ht="15" hidden="false" customHeight="false" outlineLevel="0" collapsed="false">
      <c r="A181" s="17" t="n">
        <v>46143</v>
      </c>
      <c r="B181" s="18" t="s">
        <v>53</v>
      </c>
      <c r="C181" s="2" t="str">
        <f aca="false">VLOOKUP(B181,Targets!$A$2:$D$43,2,FALSE())</f>
        <v>South</v>
      </c>
      <c r="D181" s="19" t="n">
        <v>2450</v>
      </c>
      <c r="E181" s="19" t="n">
        <v>2035</v>
      </c>
      <c r="F181" s="20" t="n">
        <f aca="false">E181-D181</f>
        <v>-415</v>
      </c>
      <c r="G181" s="21" t="n">
        <f aca="false">IF(D181=0,0,F181/D181)</f>
        <v>-0.169387755102041</v>
      </c>
      <c r="H181" s="21" t="n">
        <f aca="false">IF(D181=0,0,E181/D181)</f>
        <v>0.830612244897959</v>
      </c>
      <c r="I181" s="21" t="n">
        <f aca="false">VLOOKUP(B181,Targets!$A$2:$D$43,3,FALSE())</f>
        <v>0.92</v>
      </c>
      <c r="J181" s="22" t="n">
        <f aca="false">H181-I181</f>
        <v>-0.0893877551020409</v>
      </c>
      <c r="K181" s="2" t="str">
        <f aca="false">IF(J181&lt;-Targets!$F$2,"Under",IF(J181&gt;Targets!$F$2,"Over","On Track"))</f>
        <v>Under</v>
      </c>
    </row>
    <row r="182" customFormat="false" ht="15" hidden="false" customHeight="false" outlineLevel="0" collapsed="false">
      <c r="A182" s="17" t="n">
        <v>46143</v>
      </c>
      <c r="B182" s="18" t="s">
        <v>54</v>
      </c>
      <c r="C182" s="2" t="str">
        <f aca="false">VLOOKUP(B182,Targets!$A$2:$D$43,2,FALSE())</f>
        <v>South</v>
      </c>
      <c r="D182" s="19" t="n">
        <v>3210</v>
      </c>
      <c r="E182" s="19" t="n">
        <v>2510</v>
      </c>
      <c r="F182" s="20" t="n">
        <f aca="false">E182-D182</f>
        <v>-700</v>
      </c>
      <c r="G182" s="21" t="n">
        <f aca="false">IF(D182=0,0,F182/D182)</f>
        <v>-0.218068535825545</v>
      </c>
      <c r="H182" s="21" t="n">
        <f aca="false">IF(D182=0,0,E182/D182)</f>
        <v>0.781931464174455</v>
      </c>
      <c r="I182" s="21" t="n">
        <f aca="false">VLOOKUP(B182,Targets!$A$2:$D$43,3,FALSE())</f>
        <v>0.9</v>
      </c>
      <c r="J182" s="22" t="n">
        <f aca="false">H182-I182</f>
        <v>-0.118068535825545</v>
      </c>
      <c r="K182" s="2" t="str">
        <f aca="false">IF(J182&lt;-Targets!$F$2,"Under",IF(J182&gt;Targets!$F$2,"Over","On Track"))</f>
        <v>Under</v>
      </c>
    </row>
    <row r="183" customFormat="false" ht="15" hidden="false" customHeight="false" outlineLevel="0" collapsed="false">
      <c r="A183" s="17" t="n">
        <v>46143</v>
      </c>
      <c r="B183" s="18" t="s">
        <v>55</v>
      </c>
      <c r="C183" s="2" t="str">
        <f aca="false">VLOOKUP(B183,Targets!$A$2:$D$43,2,FALSE())</f>
        <v>South</v>
      </c>
      <c r="D183" s="19" t="n">
        <v>1380</v>
      </c>
      <c r="E183" s="19" t="n">
        <v>1165</v>
      </c>
      <c r="F183" s="20" t="n">
        <f aca="false">E183-D183</f>
        <v>-215</v>
      </c>
      <c r="G183" s="21" t="n">
        <f aca="false">IF(D183=0,0,F183/D183)</f>
        <v>-0.155797101449275</v>
      </c>
      <c r="H183" s="21" t="n">
        <f aca="false">IF(D183=0,0,E183/D183)</f>
        <v>0.844202898550725</v>
      </c>
      <c r="I183" s="21" t="n">
        <f aca="false">VLOOKUP(B183,Targets!$A$2:$D$43,3,FALSE())</f>
        <v>0.92</v>
      </c>
      <c r="J183" s="22" t="n">
        <f aca="false">H183-I183</f>
        <v>-0.0757971014492754</v>
      </c>
      <c r="K183" s="2" t="str">
        <f aca="false">IF(J183&lt;-Targets!$F$2,"Under",IF(J183&gt;Targets!$F$2,"Over","On Track"))</f>
        <v>Under</v>
      </c>
    </row>
    <row r="184" customFormat="false" ht="15" hidden="false" customHeight="false" outlineLevel="0" collapsed="false">
      <c r="A184" s="17" t="n">
        <v>46143</v>
      </c>
      <c r="B184" s="18" t="s">
        <v>56</v>
      </c>
      <c r="C184" s="2" t="str">
        <f aca="false">VLOOKUP(B184,Targets!$A$2:$D$43,2,FALSE())</f>
        <v>East</v>
      </c>
      <c r="D184" s="19" t="n">
        <v>2910</v>
      </c>
      <c r="E184" s="19" t="n">
        <v>2614</v>
      </c>
      <c r="F184" s="20" t="n">
        <f aca="false">E184-D184</f>
        <v>-296</v>
      </c>
      <c r="G184" s="21" t="n">
        <f aca="false">IF(D184=0,0,F184/D184)</f>
        <v>-0.101718213058419</v>
      </c>
      <c r="H184" s="21" t="n">
        <f aca="false">IF(D184=0,0,E184/D184)</f>
        <v>0.898281786941581</v>
      </c>
      <c r="I184" s="21" t="n">
        <f aca="false">VLOOKUP(B184,Targets!$A$2:$D$43,3,FALSE())</f>
        <v>0.92</v>
      </c>
      <c r="J184" s="22" t="n">
        <f aca="false">H184-I184</f>
        <v>-0.0217182130584193</v>
      </c>
      <c r="K184" s="2" t="str">
        <f aca="false">IF(J184&lt;-Targets!$F$2,"Under",IF(J184&gt;Targets!$F$2,"Over","On Track"))</f>
        <v>On Track</v>
      </c>
    </row>
    <row r="185" customFormat="false" ht="15" hidden="false" customHeight="false" outlineLevel="0" collapsed="false">
      <c r="A185" s="17" t="n">
        <v>46143</v>
      </c>
      <c r="B185" s="18" t="s">
        <v>57</v>
      </c>
      <c r="C185" s="2" t="str">
        <f aca="false">VLOOKUP(B185,Targets!$A$2:$D$43,2,FALSE())</f>
        <v>East</v>
      </c>
      <c r="D185" s="19" t="n">
        <v>2550</v>
      </c>
      <c r="E185" s="19" t="n">
        <v>1999</v>
      </c>
      <c r="F185" s="20" t="n">
        <f aca="false">E185-D185</f>
        <v>-551</v>
      </c>
      <c r="G185" s="21" t="n">
        <f aca="false">IF(D185=0,0,F185/D185)</f>
        <v>-0.216078431372549</v>
      </c>
      <c r="H185" s="21" t="n">
        <f aca="false">IF(D185=0,0,E185/D185)</f>
        <v>0.783921568627451</v>
      </c>
      <c r="I185" s="21" t="n">
        <f aca="false">VLOOKUP(B185,Targets!$A$2:$D$43,3,FALSE())</f>
        <v>0.88</v>
      </c>
      <c r="J185" s="22" t="n">
        <f aca="false">H185-I185</f>
        <v>-0.096078431372549</v>
      </c>
      <c r="K185" s="2" t="str">
        <f aca="false">IF(J185&lt;-Targets!$F$2,"Under",IF(J185&gt;Targets!$F$2,"Over","On Track"))</f>
        <v>Under</v>
      </c>
    </row>
    <row r="186" customFormat="false" ht="15" hidden="false" customHeight="false" outlineLevel="0" collapsed="false">
      <c r="A186" s="17" t="n">
        <v>46143</v>
      </c>
      <c r="B186" s="18" t="s">
        <v>58</v>
      </c>
      <c r="C186" s="2" t="str">
        <f aca="false">VLOOKUP(B186,Targets!$A$2:$D$43,2,FALSE())</f>
        <v>East</v>
      </c>
      <c r="D186" s="19" t="n">
        <v>1430</v>
      </c>
      <c r="E186" s="19" t="n">
        <v>1277</v>
      </c>
      <c r="F186" s="20" t="n">
        <f aca="false">E186-D186</f>
        <v>-153</v>
      </c>
      <c r="G186" s="21" t="n">
        <f aca="false">IF(D186=0,0,F186/D186)</f>
        <v>-0.106993006993007</v>
      </c>
      <c r="H186" s="21" t="n">
        <f aca="false">IF(D186=0,0,E186/D186)</f>
        <v>0.893006993006993</v>
      </c>
      <c r="I186" s="21" t="n">
        <f aca="false">VLOOKUP(B186,Targets!$A$2:$D$43,3,FALSE())</f>
        <v>0.92</v>
      </c>
      <c r="J186" s="22" t="n">
        <f aca="false">H186-I186</f>
        <v>-0.026993006993007</v>
      </c>
      <c r="K186" s="2" t="str">
        <f aca="false">IF(J186&lt;-Targets!$F$2,"Under",IF(J186&gt;Targets!$F$2,"Over","On Track"))</f>
        <v>On Track</v>
      </c>
    </row>
    <row r="187" customFormat="false" ht="15" hidden="false" customHeight="false" outlineLevel="0" collapsed="false">
      <c r="A187" s="17" t="n">
        <v>46143</v>
      </c>
      <c r="B187" s="18" t="s">
        <v>59</v>
      </c>
      <c r="C187" s="2" t="str">
        <f aca="false">VLOOKUP(B187,Targets!$A$2:$D$43,2,FALSE())</f>
        <v>East</v>
      </c>
      <c r="D187" s="19" t="n">
        <v>1330</v>
      </c>
      <c r="E187" s="19" t="n">
        <v>1113</v>
      </c>
      <c r="F187" s="20" t="n">
        <f aca="false">E187-D187</f>
        <v>-217</v>
      </c>
      <c r="G187" s="21" t="n">
        <f aca="false">IF(D187=0,0,F187/D187)</f>
        <v>-0.163157894736842</v>
      </c>
      <c r="H187" s="21" t="n">
        <f aca="false">IF(D187=0,0,E187/D187)</f>
        <v>0.836842105263158</v>
      </c>
      <c r="I187" s="21" t="n">
        <f aca="false">VLOOKUP(B187,Targets!$A$2:$D$43,3,FALSE())</f>
        <v>0.88</v>
      </c>
      <c r="J187" s="22" t="n">
        <f aca="false">H187-I187</f>
        <v>-0.0431578947368421</v>
      </c>
      <c r="K187" s="2" t="str">
        <f aca="false">IF(J187&lt;-Targets!$F$2,"Under",IF(J187&gt;Targets!$F$2,"Over","On Track"))</f>
        <v>On Track</v>
      </c>
    </row>
    <row r="188" customFormat="false" ht="15" hidden="false" customHeight="false" outlineLevel="0" collapsed="false">
      <c r="A188" s="17" t="n">
        <v>46143</v>
      </c>
      <c r="B188" s="18" t="s">
        <v>60</v>
      </c>
      <c r="C188" s="2" t="str">
        <f aca="false">VLOOKUP(B188,Targets!$A$2:$D$43,2,FALSE())</f>
        <v>East</v>
      </c>
      <c r="D188" s="19" t="n">
        <v>3110</v>
      </c>
      <c r="E188" s="19" t="n">
        <v>2404</v>
      </c>
      <c r="F188" s="20" t="n">
        <f aca="false">E188-D188</f>
        <v>-706</v>
      </c>
      <c r="G188" s="21" t="n">
        <f aca="false">IF(D188=0,0,F188/D188)</f>
        <v>-0.227009646302251</v>
      </c>
      <c r="H188" s="21" t="n">
        <f aca="false">IF(D188=0,0,E188/D188)</f>
        <v>0.772990353697749</v>
      </c>
      <c r="I188" s="21" t="n">
        <f aca="false">VLOOKUP(B188,Targets!$A$2:$D$43,3,FALSE())</f>
        <v>0.88</v>
      </c>
      <c r="J188" s="22" t="n">
        <f aca="false">H188-I188</f>
        <v>-0.107009646302251</v>
      </c>
      <c r="K188" s="2" t="str">
        <f aca="false">IF(J188&lt;-Targets!$F$2,"Under",IF(J188&gt;Targets!$F$2,"Over","On Track"))</f>
        <v>Under</v>
      </c>
    </row>
    <row r="189" customFormat="false" ht="15" hidden="false" customHeight="false" outlineLevel="0" collapsed="false">
      <c r="A189" s="17" t="n">
        <v>46143</v>
      </c>
      <c r="B189" s="18" t="s">
        <v>61</v>
      </c>
      <c r="C189" s="2" t="str">
        <f aca="false">VLOOKUP(B189,Targets!$A$2:$D$43,2,FALSE())</f>
        <v>East</v>
      </c>
      <c r="D189" s="19" t="n">
        <v>1680</v>
      </c>
      <c r="E189" s="19" t="n">
        <v>1390</v>
      </c>
      <c r="F189" s="20" t="n">
        <f aca="false">E189-D189</f>
        <v>-290</v>
      </c>
      <c r="G189" s="21" t="n">
        <f aca="false">IF(D189=0,0,F189/D189)</f>
        <v>-0.172619047619048</v>
      </c>
      <c r="H189" s="21" t="n">
        <f aca="false">IF(D189=0,0,E189/D189)</f>
        <v>0.827380952380952</v>
      </c>
      <c r="I189" s="21" t="n">
        <f aca="false">VLOOKUP(B189,Targets!$A$2:$D$43,3,FALSE())</f>
        <v>0.88</v>
      </c>
      <c r="J189" s="22" t="n">
        <f aca="false">H189-I189</f>
        <v>-0.0526190476190477</v>
      </c>
      <c r="K189" s="2" t="str">
        <f aca="false">IF(J189&lt;-Targets!$F$2,"Under",IF(J189&gt;Targets!$F$2,"Over","On Track"))</f>
        <v>Under</v>
      </c>
    </row>
    <row r="190" customFormat="false" ht="15" hidden="false" customHeight="false" outlineLevel="0" collapsed="false">
      <c r="A190" s="17" t="n">
        <v>46143</v>
      </c>
      <c r="B190" s="18" t="s">
        <v>62</v>
      </c>
      <c r="C190" s="2" t="str">
        <f aca="false">VLOOKUP(B190,Targets!$A$2:$D$43,2,FALSE())</f>
        <v>East</v>
      </c>
      <c r="D190" s="19" t="n">
        <v>1940</v>
      </c>
      <c r="E190" s="19" t="n">
        <v>1787</v>
      </c>
      <c r="F190" s="20" t="n">
        <f aca="false">E190-D190</f>
        <v>-153</v>
      </c>
      <c r="G190" s="21" t="n">
        <f aca="false">IF(D190=0,0,F190/D190)</f>
        <v>-0.0788659793814433</v>
      </c>
      <c r="H190" s="21" t="n">
        <f aca="false">IF(D190=0,0,E190/D190)</f>
        <v>0.921134020618557</v>
      </c>
      <c r="I190" s="21" t="n">
        <f aca="false">VLOOKUP(B190,Targets!$A$2:$D$43,3,FALSE())</f>
        <v>0.92</v>
      </c>
      <c r="J190" s="22" t="n">
        <f aca="false">H190-I190</f>
        <v>0.00113402061855661</v>
      </c>
      <c r="K190" s="2" t="str">
        <f aca="false">IF(J190&lt;-Targets!$F$2,"Under",IF(J190&gt;Targets!$F$2,"Over","On Track"))</f>
        <v>On Track</v>
      </c>
    </row>
    <row r="191" customFormat="false" ht="15" hidden="false" customHeight="false" outlineLevel="0" collapsed="false">
      <c r="A191" s="17" t="n">
        <v>46143</v>
      </c>
      <c r="B191" s="18" t="s">
        <v>63</v>
      </c>
      <c r="C191" s="2" t="str">
        <f aca="false">VLOOKUP(B191,Targets!$A$2:$D$43,2,FALSE())</f>
        <v>West</v>
      </c>
      <c r="D191" s="19" t="n">
        <v>2450</v>
      </c>
      <c r="E191" s="19" t="n">
        <v>2105</v>
      </c>
      <c r="F191" s="20" t="n">
        <f aca="false">E191-D191</f>
        <v>-345</v>
      </c>
      <c r="G191" s="21" t="n">
        <f aca="false">IF(D191=0,0,F191/D191)</f>
        <v>-0.140816326530612</v>
      </c>
      <c r="H191" s="21" t="n">
        <f aca="false">IF(D191=0,0,E191/D191)</f>
        <v>0.859183673469388</v>
      </c>
      <c r="I191" s="21" t="n">
        <f aca="false">VLOOKUP(B191,Targets!$A$2:$D$43,3,FALSE())</f>
        <v>0.85</v>
      </c>
      <c r="J191" s="22" t="n">
        <f aca="false">H191-I191</f>
        <v>0.00918367346938775</v>
      </c>
      <c r="K191" s="2" t="str">
        <f aca="false">IF(J191&lt;-Targets!$F$2,"Under",IF(J191&gt;Targets!$F$2,"Over","On Track"))</f>
        <v>On Track</v>
      </c>
    </row>
    <row r="192" customFormat="false" ht="15" hidden="false" customHeight="false" outlineLevel="0" collapsed="false">
      <c r="A192" s="17" t="n">
        <v>46143</v>
      </c>
      <c r="B192" s="18" t="s">
        <v>64</v>
      </c>
      <c r="C192" s="2" t="str">
        <f aca="false">VLOOKUP(B192,Targets!$A$2:$D$43,2,FALSE())</f>
        <v>West</v>
      </c>
      <c r="D192" s="19" t="n">
        <v>1940</v>
      </c>
      <c r="E192" s="19" t="n">
        <v>1999</v>
      </c>
      <c r="F192" s="20" t="n">
        <f aca="false">E192-D192</f>
        <v>59</v>
      </c>
      <c r="G192" s="21" t="n">
        <f aca="false">IF(D192=0,0,F192/D192)</f>
        <v>0.0304123711340206</v>
      </c>
      <c r="H192" s="21" t="n">
        <f aca="false">IF(D192=0,0,E192/D192)</f>
        <v>1.03041237113402</v>
      </c>
      <c r="I192" s="21" t="n">
        <f aca="false">VLOOKUP(B192,Targets!$A$2:$D$43,3,FALSE())</f>
        <v>0.92</v>
      </c>
      <c r="J192" s="22" t="n">
        <f aca="false">H192-I192</f>
        <v>0.11041237113402</v>
      </c>
      <c r="K192" s="2" t="str">
        <f aca="false">IF(J192&lt;-Targets!$F$2,"Under",IF(J192&gt;Targets!$F$2,"Over","On Track"))</f>
        <v>Over</v>
      </c>
    </row>
    <row r="193" customFormat="false" ht="15" hidden="false" customHeight="false" outlineLevel="0" collapsed="false">
      <c r="A193" s="17" t="n">
        <v>46143</v>
      </c>
      <c r="B193" s="18" t="s">
        <v>65</v>
      </c>
      <c r="C193" s="2" t="str">
        <f aca="false">VLOOKUP(B193,Targets!$A$2:$D$43,2,FALSE())</f>
        <v>West</v>
      </c>
      <c r="D193" s="19" t="n">
        <v>920</v>
      </c>
      <c r="E193" s="19" t="n">
        <v>961</v>
      </c>
      <c r="F193" s="20" t="n">
        <f aca="false">E193-D193</f>
        <v>41</v>
      </c>
      <c r="G193" s="21" t="n">
        <f aca="false">IF(D193=0,0,F193/D193)</f>
        <v>0.0445652173913044</v>
      </c>
      <c r="H193" s="21" t="n">
        <f aca="false">IF(D193=0,0,E193/D193)</f>
        <v>1.0445652173913</v>
      </c>
      <c r="I193" s="21" t="n">
        <f aca="false">VLOOKUP(B193,Targets!$A$2:$D$43,3,FALSE())</f>
        <v>0.92</v>
      </c>
      <c r="J193" s="22" t="n">
        <f aca="false">H193-I193</f>
        <v>0.124565217391304</v>
      </c>
      <c r="K193" s="2" t="str">
        <f aca="false">IF(J193&lt;-Targets!$F$2,"Under",IF(J193&gt;Targets!$F$2,"Over","On Track"))</f>
        <v>Over</v>
      </c>
    </row>
    <row r="194" customFormat="false" ht="15" hidden="false" customHeight="false" outlineLevel="0" collapsed="false">
      <c r="A194" s="17" t="n">
        <v>46143</v>
      </c>
      <c r="B194" s="18" t="s">
        <v>66</v>
      </c>
      <c r="C194" s="2" t="str">
        <f aca="false">VLOOKUP(B194,Targets!$A$2:$D$43,2,FALSE())</f>
        <v>West</v>
      </c>
      <c r="D194" s="19" t="n">
        <v>1480</v>
      </c>
      <c r="E194" s="19" t="n">
        <v>1398</v>
      </c>
      <c r="F194" s="20" t="n">
        <f aca="false">E194-D194</f>
        <v>-82</v>
      </c>
      <c r="G194" s="21" t="n">
        <f aca="false">IF(D194=0,0,F194/D194)</f>
        <v>-0.0554054054054054</v>
      </c>
      <c r="H194" s="21" t="n">
        <f aca="false">IF(D194=0,0,E194/D194)</f>
        <v>0.944594594594595</v>
      </c>
      <c r="I194" s="21" t="n">
        <f aca="false">VLOOKUP(B194,Targets!$A$2:$D$43,3,FALSE())</f>
        <v>0.92</v>
      </c>
      <c r="J194" s="22" t="n">
        <f aca="false">H194-I194</f>
        <v>0.0245945945945946</v>
      </c>
      <c r="K194" s="2" t="str">
        <f aca="false">IF(J194&lt;-Targets!$F$2,"Under",IF(J194&gt;Targets!$F$2,"Over","On Track"))</f>
        <v>On Track</v>
      </c>
    </row>
    <row r="195" customFormat="false" ht="15" hidden="false" customHeight="false" outlineLevel="0" collapsed="false">
      <c r="A195" s="17" t="n">
        <v>46143</v>
      </c>
      <c r="B195" s="18" t="s">
        <v>67</v>
      </c>
      <c r="C195" s="2" t="str">
        <f aca="false">VLOOKUP(B195,Targets!$A$2:$D$43,2,FALSE())</f>
        <v>West</v>
      </c>
      <c r="D195" s="19" t="n">
        <v>1990</v>
      </c>
      <c r="E195" s="19" t="n">
        <v>1965</v>
      </c>
      <c r="F195" s="20" t="n">
        <f aca="false">E195-D195</f>
        <v>-25</v>
      </c>
      <c r="G195" s="21" t="n">
        <f aca="false">IF(D195=0,0,F195/D195)</f>
        <v>-0.0125628140703518</v>
      </c>
      <c r="H195" s="21" t="n">
        <f aca="false">IF(D195=0,0,E195/D195)</f>
        <v>0.987437185929648</v>
      </c>
      <c r="I195" s="21" t="n">
        <f aca="false">VLOOKUP(B195,Targets!$A$2:$D$43,3,FALSE())</f>
        <v>0.92</v>
      </c>
      <c r="J195" s="22" t="n">
        <f aca="false">H195-I195</f>
        <v>0.0674371859296482</v>
      </c>
      <c r="K195" s="2" t="str">
        <f aca="false">IF(J195&lt;-Targets!$F$2,"Under",IF(J195&gt;Targets!$F$2,"Over","On Track"))</f>
        <v>Over</v>
      </c>
    </row>
    <row r="196" customFormat="false" ht="15" hidden="false" customHeight="false" outlineLevel="0" collapsed="false">
      <c r="A196" s="17" t="n">
        <v>46143</v>
      </c>
      <c r="B196" s="18" t="s">
        <v>68</v>
      </c>
      <c r="C196" s="2" t="str">
        <f aca="false">VLOOKUP(B196,Targets!$A$2:$D$43,2,FALSE())</f>
        <v>West</v>
      </c>
      <c r="D196" s="19" t="n">
        <v>2700</v>
      </c>
      <c r="E196" s="19" t="n">
        <v>2807</v>
      </c>
      <c r="F196" s="20" t="n">
        <f aca="false">E196-D196</f>
        <v>107</v>
      </c>
      <c r="G196" s="21" t="n">
        <f aca="false">IF(D196=0,0,F196/D196)</f>
        <v>0.0396296296296296</v>
      </c>
      <c r="H196" s="21" t="n">
        <f aca="false">IF(D196=0,0,E196/D196)</f>
        <v>1.03962962962963</v>
      </c>
      <c r="I196" s="21" t="n">
        <f aca="false">VLOOKUP(B196,Targets!$A$2:$D$43,3,FALSE())</f>
        <v>0.9</v>
      </c>
      <c r="J196" s="22" t="n">
        <f aca="false">H196-I196</f>
        <v>0.13962962962963</v>
      </c>
      <c r="K196" s="2" t="str">
        <f aca="false">IF(J196&lt;-Targets!$F$2,"Under",IF(J196&gt;Targets!$F$2,"Over","On Track"))</f>
        <v>Over</v>
      </c>
    </row>
    <row r="197" customFormat="false" ht="15" hidden="false" customHeight="false" outlineLevel="0" collapsed="false">
      <c r="A197" s="17" t="n">
        <v>46143</v>
      </c>
      <c r="B197" s="18" t="s">
        <v>69</v>
      </c>
      <c r="C197" s="2" t="str">
        <f aca="false">VLOOKUP(B197,Targets!$A$2:$D$43,2,FALSE())</f>
        <v>West</v>
      </c>
      <c r="D197" s="19" t="n">
        <v>2300</v>
      </c>
      <c r="E197" s="19" t="n">
        <v>2170</v>
      </c>
      <c r="F197" s="20" t="n">
        <f aca="false">E197-D197</f>
        <v>-130</v>
      </c>
      <c r="G197" s="21" t="n">
        <f aca="false">IF(D197=0,0,F197/D197)</f>
        <v>-0.0565217391304348</v>
      </c>
      <c r="H197" s="21" t="n">
        <f aca="false">IF(D197=0,0,E197/D197)</f>
        <v>0.943478260869565</v>
      </c>
      <c r="I197" s="21" t="n">
        <f aca="false">VLOOKUP(B197,Targets!$A$2:$D$43,3,FALSE())</f>
        <v>0.92</v>
      </c>
      <c r="J197" s="22" t="n">
        <f aca="false">H197-I197</f>
        <v>0.0234782608695652</v>
      </c>
      <c r="K197" s="2" t="str">
        <f aca="false">IF(J197&lt;-Targets!$F$2,"Under",IF(J197&gt;Targets!$F$2,"Over","On Track"))</f>
        <v>On Track</v>
      </c>
    </row>
    <row r="198" customFormat="false" ht="15" hidden="false" customHeight="false" outlineLevel="0" collapsed="false">
      <c r="A198" s="17" t="n">
        <v>46143</v>
      </c>
      <c r="B198" s="18" t="s">
        <v>70</v>
      </c>
      <c r="C198" s="2" t="str">
        <f aca="false">VLOOKUP(B198,Targets!$A$2:$D$43,2,FALSE())</f>
        <v>Central</v>
      </c>
      <c r="D198" s="19" t="n">
        <v>1890</v>
      </c>
      <c r="E198" s="19" t="n">
        <v>1540</v>
      </c>
      <c r="F198" s="20" t="n">
        <f aca="false">E198-D198</f>
        <v>-350</v>
      </c>
      <c r="G198" s="21" t="n">
        <f aca="false">IF(D198=0,0,F198/D198)</f>
        <v>-0.185185185185185</v>
      </c>
      <c r="H198" s="21" t="n">
        <f aca="false">IF(D198=0,0,E198/D198)</f>
        <v>0.814814814814815</v>
      </c>
      <c r="I198" s="21" t="n">
        <f aca="false">VLOOKUP(B198,Targets!$A$2:$D$43,3,FALSE())</f>
        <v>0.9</v>
      </c>
      <c r="J198" s="22" t="n">
        <f aca="false">H198-I198</f>
        <v>-0.0851851851851853</v>
      </c>
      <c r="K198" s="2" t="str">
        <f aca="false">IF(J198&lt;-Targets!$F$2,"Under",IF(J198&gt;Targets!$F$2,"Over","On Track"))</f>
        <v>Under</v>
      </c>
    </row>
    <row r="199" customFormat="false" ht="15" hidden="false" customHeight="false" outlineLevel="0" collapsed="false">
      <c r="A199" s="17" t="n">
        <v>46143</v>
      </c>
      <c r="B199" s="18" t="s">
        <v>71</v>
      </c>
      <c r="C199" s="2" t="str">
        <f aca="false">VLOOKUP(B199,Targets!$A$2:$D$43,2,FALSE())</f>
        <v>Central</v>
      </c>
      <c r="D199" s="19" t="n">
        <v>1330</v>
      </c>
      <c r="E199" s="19" t="n">
        <v>1049</v>
      </c>
      <c r="F199" s="20" t="n">
        <f aca="false">E199-D199</f>
        <v>-281</v>
      </c>
      <c r="G199" s="21" t="n">
        <f aca="false">IF(D199=0,0,F199/D199)</f>
        <v>-0.211278195488722</v>
      </c>
      <c r="H199" s="21" t="n">
        <f aca="false">IF(D199=0,0,E199/D199)</f>
        <v>0.788721804511278</v>
      </c>
      <c r="I199" s="21" t="n">
        <f aca="false">VLOOKUP(B199,Targets!$A$2:$D$43,3,FALSE())</f>
        <v>0.85</v>
      </c>
      <c r="J199" s="22" t="n">
        <f aca="false">H199-I199</f>
        <v>-0.0612781954887218</v>
      </c>
      <c r="K199" s="2" t="str">
        <f aca="false">IF(J199&lt;-Targets!$F$2,"Under",IF(J199&gt;Targets!$F$2,"Over","On Track"))</f>
        <v>Under</v>
      </c>
    </row>
    <row r="200" customFormat="false" ht="15" hidden="false" customHeight="false" outlineLevel="0" collapsed="false">
      <c r="A200" s="17" t="n">
        <v>46143</v>
      </c>
      <c r="B200" s="18" t="s">
        <v>72</v>
      </c>
      <c r="C200" s="2" t="str">
        <f aca="false">VLOOKUP(B200,Targets!$A$2:$D$43,2,FALSE())</f>
        <v>Central</v>
      </c>
      <c r="D200" s="19" t="n">
        <v>2750</v>
      </c>
      <c r="E200" s="19" t="n">
        <v>2039</v>
      </c>
      <c r="F200" s="20" t="n">
        <f aca="false">E200-D200</f>
        <v>-711</v>
      </c>
      <c r="G200" s="21" t="n">
        <f aca="false">IF(D200=0,0,F200/D200)</f>
        <v>-0.258545454545455</v>
      </c>
      <c r="H200" s="21" t="n">
        <f aca="false">IF(D200=0,0,E200/D200)</f>
        <v>0.741454545454546</v>
      </c>
      <c r="I200" s="21" t="n">
        <f aca="false">VLOOKUP(B200,Targets!$A$2:$D$43,3,FALSE())</f>
        <v>0.85</v>
      </c>
      <c r="J200" s="22" t="n">
        <f aca="false">H200-I200</f>
        <v>-0.108545454545455</v>
      </c>
      <c r="K200" s="2" t="str">
        <f aca="false">IF(J200&lt;-Targets!$F$2,"Under",IF(J200&gt;Targets!$F$2,"Over","On Track"))</f>
        <v>Under</v>
      </c>
    </row>
    <row r="201" customFormat="false" ht="15" hidden="false" customHeight="false" outlineLevel="0" collapsed="false">
      <c r="A201" s="17" t="n">
        <v>46143</v>
      </c>
      <c r="B201" s="18" t="s">
        <v>73</v>
      </c>
      <c r="C201" s="2" t="str">
        <f aca="false">VLOOKUP(B201,Targets!$A$2:$D$43,2,FALSE())</f>
        <v>Central</v>
      </c>
      <c r="D201" s="19" t="n">
        <v>1330</v>
      </c>
      <c r="E201" s="19" t="n">
        <v>988</v>
      </c>
      <c r="F201" s="20" t="n">
        <f aca="false">E201-D201</f>
        <v>-342</v>
      </c>
      <c r="G201" s="21" t="n">
        <f aca="false">IF(D201=0,0,F201/D201)</f>
        <v>-0.257142857142857</v>
      </c>
      <c r="H201" s="21" t="n">
        <f aca="false">IF(D201=0,0,E201/D201)</f>
        <v>0.742857142857143</v>
      </c>
      <c r="I201" s="21" t="n">
        <f aca="false">VLOOKUP(B201,Targets!$A$2:$D$43,3,FALSE())</f>
        <v>0.85</v>
      </c>
      <c r="J201" s="22" t="n">
        <f aca="false">H201-I201</f>
        <v>-0.107142857142857</v>
      </c>
      <c r="K201" s="2" t="str">
        <f aca="false">IF(J201&lt;-Targets!$F$2,"Under",IF(J201&gt;Targets!$F$2,"Over","On Track"))</f>
        <v>Under</v>
      </c>
    </row>
    <row r="202" customFormat="false" ht="15" hidden="false" customHeight="false" outlineLevel="0" collapsed="false">
      <c r="A202" s="17" t="n">
        <v>46143</v>
      </c>
      <c r="B202" s="18" t="s">
        <v>74</v>
      </c>
      <c r="C202" s="2" t="str">
        <f aca="false">VLOOKUP(B202,Targets!$A$2:$D$43,2,FALSE())</f>
        <v>Central</v>
      </c>
      <c r="D202" s="19" t="n">
        <v>2600</v>
      </c>
      <c r="E202" s="19" t="n">
        <v>2133</v>
      </c>
      <c r="F202" s="20" t="n">
        <f aca="false">E202-D202</f>
        <v>-467</v>
      </c>
      <c r="G202" s="21" t="n">
        <f aca="false">IF(D202=0,0,F202/D202)</f>
        <v>-0.179615384615385</v>
      </c>
      <c r="H202" s="21" t="n">
        <f aca="false">IF(D202=0,0,E202/D202)</f>
        <v>0.820384615384615</v>
      </c>
      <c r="I202" s="21" t="n">
        <f aca="false">VLOOKUP(B202,Targets!$A$2:$D$43,3,FALSE())</f>
        <v>0.85</v>
      </c>
      <c r="J202" s="22" t="n">
        <f aca="false">H202-I202</f>
        <v>-0.0296153846153846</v>
      </c>
      <c r="K202" s="2" t="str">
        <f aca="false">IF(J202&lt;-Targets!$F$2,"Under",IF(J202&gt;Targets!$F$2,"Over","On Track"))</f>
        <v>On Track</v>
      </c>
    </row>
    <row r="203" customFormat="false" ht="15" hidden="false" customHeight="false" outlineLevel="0" collapsed="false">
      <c r="A203" s="17" t="n">
        <v>46143</v>
      </c>
      <c r="B203" s="18" t="s">
        <v>75</v>
      </c>
      <c r="C203" s="2" t="str">
        <f aca="false">VLOOKUP(B203,Targets!$A$2:$D$43,2,FALSE())</f>
        <v>Central</v>
      </c>
      <c r="D203" s="19" t="n">
        <v>2040</v>
      </c>
      <c r="E203" s="19" t="n">
        <v>1671</v>
      </c>
      <c r="F203" s="20" t="n">
        <f aca="false">E203-D203</f>
        <v>-369</v>
      </c>
      <c r="G203" s="21" t="n">
        <f aca="false">IF(D203=0,0,F203/D203)</f>
        <v>-0.180882352941176</v>
      </c>
      <c r="H203" s="21" t="n">
        <f aca="false">IF(D203=0,0,E203/D203)</f>
        <v>0.819117647058824</v>
      </c>
      <c r="I203" s="21" t="n">
        <f aca="false">VLOOKUP(B203,Targets!$A$2:$D$43,3,FALSE())</f>
        <v>0.88</v>
      </c>
      <c r="J203" s="22" t="n">
        <f aca="false">H203-I203</f>
        <v>-0.0608823529411765</v>
      </c>
      <c r="K203" s="2" t="str">
        <f aca="false">IF(J203&lt;-Targets!$F$2,"Under",IF(J203&gt;Targets!$F$2,"Over","On Track"))</f>
        <v>Under</v>
      </c>
    </row>
    <row r="204" customFormat="false" ht="15" hidden="false" customHeight="false" outlineLevel="0" collapsed="false">
      <c r="A204" s="17" t="n">
        <v>46143</v>
      </c>
      <c r="B204" s="18" t="s">
        <v>76</v>
      </c>
      <c r="C204" s="2" t="str">
        <f aca="false">VLOOKUP(B204,Targets!$A$2:$D$43,2,FALSE())</f>
        <v>Central</v>
      </c>
      <c r="D204" s="19" t="n">
        <v>2190</v>
      </c>
      <c r="E204" s="19" t="n">
        <v>1910</v>
      </c>
      <c r="F204" s="20" t="n">
        <f aca="false">E204-D204</f>
        <v>-280</v>
      </c>
      <c r="G204" s="21" t="n">
        <f aca="false">IF(D204=0,0,F204/D204)</f>
        <v>-0.127853881278539</v>
      </c>
      <c r="H204" s="21" t="n">
        <f aca="false">IF(D204=0,0,E204/D204)</f>
        <v>0.872146118721461</v>
      </c>
      <c r="I204" s="21" t="n">
        <f aca="false">VLOOKUP(B204,Targets!$A$2:$D$43,3,FALSE())</f>
        <v>0.9</v>
      </c>
      <c r="J204" s="22" t="n">
        <f aca="false">H204-I204</f>
        <v>-0.0278538812785388</v>
      </c>
      <c r="K204" s="2" t="str">
        <f aca="false">IF(J204&lt;-Targets!$F$2,"Under",IF(J204&gt;Targets!$F$2,"Over","On Track"))</f>
        <v>On Track</v>
      </c>
    </row>
    <row r="205" customFormat="false" ht="15" hidden="false" customHeight="false" outlineLevel="0" collapsed="false">
      <c r="A205" s="17" t="n">
        <v>46143</v>
      </c>
      <c r="B205" s="18" t="s">
        <v>77</v>
      </c>
      <c r="C205" s="2" t="str">
        <f aca="false">VLOOKUP(B205,Targets!$A$2:$D$43,2,FALSE())</f>
        <v>North-East</v>
      </c>
      <c r="D205" s="19" t="n">
        <v>1780</v>
      </c>
      <c r="E205" s="19" t="n">
        <v>1485</v>
      </c>
      <c r="F205" s="20" t="n">
        <f aca="false">E205-D205</f>
        <v>-295</v>
      </c>
      <c r="G205" s="21" t="n">
        <f aca="false">IF(D205=0,0,F205/D205)</f>
        <v>-0.165730337078652</v>
      </c>
      <c r="H205" s="21" t="n">
        <f aca="false">IF(D205=0,0,E205/D205)</f>
        <v>0.834269662921348</v>
      </c>
      <c r="I205" s="21" t="n">
        <f aca="false">VLOOKUP(B205,Targets!$A$2:$D$43,3,FALSE())</f>
        <v>0.88</v>
      </c>
      <c r="J205" s="22" t="n">
        <f aca="false">H205-I205</f>
        <v>-0.0457303370786517</v>
      </c>
      <c r="K205" s="2" t="str">
        <f aca="false">IF(J205&lt;-Targets!$F$2,"Under",IF(J205&gt;Targets!$F$2,"Over","On Track"))</f>
        <v>On Track</v>
      </c>
    </row>
    <row r="206" customFormat="false" ht="15" hidden="false" customHeight="false" outlineLevel="0" collapsed="false">
      <c r="A206" s="17" t="n">
        <v>46143</v>
      </c>
      <c r="B206" s="18" t="s">
        <v>78</v>
      </c>
      <c r="C206" s="2" t="str">
        <f aca="false">VLOOKUP(B206,Targets!$A$2:$D$43,2,FALSE())</f>
        <v>North-East</v>
      </c>
      <c r="D206" s="19" t="n">
        <v>1380</v>
      </c>
      <c r="E206" s="19" t="n">
        <v>1120</v>
      </c>
      <c r="F206" s="20" t="n">
        <f aca="false">E206-D206</f>
        <v>-260</v>
      </c>
      <c r="G206" s="21" t="n">
        <f aca="false">IF(D206=0,0,F206/D206)</f>
        <v>-0.188405797101449</v>
      </c>
      <c r="H206" s="21" t="n">
        <f aca="false">IF(D206=0,0,E206/D206)</f>
        <v>0.811594202898551</v>
      </c>
      <c r="I206" s="21" t="n">
        <f aca="false">VLOOKUP(B206,Targets!$A$2:$D$43,3,FALSE())</f>
        <v>0.92</v>
      </c>
      <c r="J206" s="22" t="n">
        <f aca="false">H206-I206</f>
        <v>-0.108405797101449</v>
      </c>
      <c r="K206" s="2" t="str">
        <f aca="false">IF(J206&lt;-Targets!$F$2,"Under",IF(J206&gt;Targets!$F$2,"Over","On Track"))</f>
        <v>Under</v>
      </c>
    </row>
    <row r="207" customFormat="false" ht="15" hidden="false" customHeight="false" outlineLevel="0" collapsed="false">
      <c r="A207" s="17" t="n">
        <v>46143</v>
      </c>
      <c r="B207" s="18" t="s">
        <v>79</v>
      </c>
      <c r="C207" s="2" t="str">
        <f aca="false">VLOOKUP(B207,Targets!$A$2:$D$43,2,FALSE())</f>
        <v>North-East</v>
      </c>
      <c r="D207" s="19" t="n">
        <v>1280</v>
      </c>
      <c r="E207" s="19" t="n">
        <v>1076</v>
      </c>
      <c r="F207" s="20" t="n">
        <f aca="false">E207-D207</f>
        <v>-204</v>
      </c>
      <c r="G207" s="21" t="n">
        <f aca="false">IF(D207=0,0,F207/D207)</f>
        <v>-0.159375</v>
      </c>
      <c r="H207" s="21" t="n">
        <f aca="false">IF(D207=0,0,E207/D207)</f>
        <v>0.840625</v>
      </c>
      <c r="I207" s="21" t="n">
        <f aca="false">VLOOKUP(B207,Targets!$A$2:$D$43,3,FALSE())</f>
        <v>0.92</v>
      </c>
      <c r="J207" s="22" t="n">
        <f aca="false">H207-I207</f>
        <v>-0.0793750000000001</v>
      </c>
      <c r="K207" s="2" t="str">
        <f aca="false">IF(J207&lt;-Targets!$F$2,"Under",IF(J207&gt;Targets!$F$2,"Over","On Track"))</f>
        <v>Under</v>
      </c>
    </row>
    <row r="208" customFormat="false" ht="15" hidden="false" customHeight="false" outlineLevel="0" collapsed="false">
      <c r="A208" s="17" t="n">
        <v>46143</v>
      </c>
      <c r="B208" s="18" t="s">
        <v>80</v>
      </c>
      <c r="C208" s="2" t="str">
        <f aca="false">VLOOKUP(B208,Targets!$A$2:$D$43,2,FALSE())</f>
        <v>North-East</v>
      </c>
      <c r="D208" s="19" t="n">
        <v>2400</v>
      </c>
      <c r="E208" s="19" t="n">
        <v>1912</v>
      </c>
      <c r="F208" s="20" t="n">
        <f aca="false">E208-D208</f>
        <v>-488</v>
      </c>
      <c r="G208" s="21" t="n">
        <f aca="false">IF(D208=0,0,F208/D208)</f>
        <v>-0.203333333333333</v>
      </c>
      <c r="H208" s="21" t="n">
        <f aca="false">IF(D208=0,0,E208/D208)</f>
        <v>0.796666666666667</v>
      </c>
      <c r="I208" s="21" t="n">
        <f aca="false">VLOOKUP(B208,Targets!$A$2:$D$43,3,FALSE())</f>
        <v>0.88</v>
      </c>
      <c r="J208" s="22" t="n">
        <f aca="false">H208-I208</f>
        <v>-0.0833333333333334</v>
      </c>
      <c r="K208" s="2" t="str">
        <f aca="false">IF(J208&lt;-Targets!$F$2,"Under",IF(J208&gt;Targets!$F$2,"Over","On Track"))</f>
        <v>Under</v>
      </c>
    </row>
    <row r="209" customFormat="false" ht="15" hidden="false" customHeight="false" outlineLevel="0" collapsed="false">
      <c r="A209" s="17" t="n">
        <v>46143</v>
      </c>
      <c r="B209" s="18" t="s">
        <v>81</v>
      </c>
      <c r="C209" s="2" t="str">
        <f aca="false">VLOOKUP(B209,Targets!$A$2:$D$43,2,FALSE())</f>
        <v>North-East</v>
      </c>
      <c r="D209" s="19" t="n">
        <v>1530</v>
      </c>
      <c r="E209" s="19" t="n">
        <v>1188</v>
      </c>
      <c r="F209" s="20" t="n">
        <f aca="false">E209-D209</f>
        <v>-342</v>
      </c>
      <c r="G209" s="21" t="n">
        <f aca="false">IF(D209=0,0,F209/D209)</f>
        <v>-0.223529411764706</v>
      </c>
      <c r="H209" s="21" t="n">
        <f aca="false">IF(D209=0,0,E209/D209)</f>
        <v>0.776470588235294</v>
      </c>
      <c r="I209" s="21" t="n">
        <f aca="false">VLOOKUP(B209,Targets!$A$2:$D$43,3,FALSE())</f>
        <v>0.88</v>
      </c>
      <c r="J209" s="22" t="n">
        <f aca="false">H209-I209</f>
        <v>-0.103529411764706</v>
      </c>
      <c r="K209" s="2" t="str">
        <f aca="false">IF(J209&lt;-Targets!$F$2,"Under",IF(J209&gt;Targets!$F$2,"Over","On Track"))</f>
        <v>Under</v>
      </c>
    </row>
    <row r="210" customFormat="false" ht="15" hidden="false" customHeight="false" outlineLevel="0" collapsed="false">
      <c r="A210" s="17" t="n">
        <v>46143</v>
      </c>
      <c r="B210" s="18" t="s">
        <v>82</v>
      </c>
      <c r="C210" s="2" t="str">
        <f aca="false">VLOOKUP(B210,Targets!$A$2:$D$43,2,FALSE())</f>
        <v>North-East</v>
      </c>
      <c r="D210" s="19" t="n">
        <v>920</v>
      </c>
      <c r="E210" s="19" t="n">
        <v>679</v>
      </c>
      <c r="F210" s="20" t="n">
        <f aca="false">E210-D210</f>
        <v>-241</v>
      </c>
      <c r="G210" s="21" t="n">
        <f aca="false">IF(D210=0,0,F210/D210)</f>
        <v>-0.26195652173913</v>
      </c>
      <c r="H210" s="21" t="n">
        <f aca="false">IF(D210=0,0,E210/D210)</f>
        <v>0.73804347826087</v>
      </c>
      <c r="I210" s="21" t="n">
        <f aca="false">VLOOKUP(B210,Targets!$A$2:$D$43,3,FALSE())</f>
        <v>0.85</v>
      </c>
      <c r="J210" s="22" t="n">
        <f aca="false">H210-I210</f>
        <v>-0.11195652173913</v>
      </c>
      <c r="K210" s="2" t="str">
        <f aca="false">IF(J210&lt;-Targets!$F$2,"Under",IF(J210&gt;Targets!$F$2,"Over","On Track"))</f>
        <v>Under</v>
      </c>
    </row>
    <row r="211" customFormat="false" ht="15" hidden="false" customHeight="false" outlineLevel="0" collapsed="false">
      <c r="A211" s="17" t="n">
        <v>46143</v>
      </c>
      <c r="B211" s="18" t="s">
        <v>83</v>
      </c>
      <c r="C211" s="2" t="str">
        <f aca="false">VLOOKUP(B211,Targets!$A$2:$D$43,2,FALSE())</f>
        <v>North-East</v>
      </c>
      <c r="D211" s="19" t="n">
        <v>1330</v>
      </c>
      <c r="E211" s="19" t="n">
        <v>1098</v>
      </c>
      <c r="F211" s="20" t="n">
        <f aca="false">E211-D211</f>
        <v>-232</v>
      </c>
      <c r="G211" s="21" t="n">
        <f aca="false">IF(D211=0,0,F211/D211)</f>
        <v>-0.174436090225564</v>
      </c>
      <c r="H211" s="21" t="n">
        <f aca="false">IF(D211=0,0,E211/D211)</f>
        <v>0.825563909774436</v>
      </c>
      <c r="I211" s="21" t="n">
        <f aca="false">VLOOKUP(B211,Targets!$A$2:$D$43,3,FALSE())</f>
        <v>0.88</v>
      </c>
      <c r="J211" s="22" t="n">
        <f aca="false">H211-I211</f>
        <v>-0.054436090225564</v>
      </c>
      <c r="K211" s="2" t="str">
        <f aca="false">IF(J211&lt;-Targets!$F$2,"Under",IF(J211&gt;Targets!$F$2,"Over","On Track"))</f>
        <v>Under</v>
      </c>
    </row>
    <row r="212" customFormat="false" ht="15" hidden="false" customHeight="false" outlineLevel="0" collapsed="false">
      <c r="A212" s="17" t="n">
        <v>46174</v>
      </c>
      <c r="B212" s="18" t="s">
        <v>41</v>
      </c>
      <c r="C212" s="2" t="str">
        <f aca="false">VLOOKUP(B212,Targets!$A$2:$D$43,2,FALSE())</f>
        <v>North</v>
      </c>
      <c r="D212" s="19" t="n">
        <v>2730</v>
      </c>
      <c r="E212" s="19" t="n">
        <v>2383</v>
      </c>
      <c r="F212" s="20" t="n">
        <f aca="false">E212-D212</f>
        <v>-347</v>
      </c>
      <c r="G212" s="21" t="n">
        <f aca="false">IF(D212=0,0,F212/D212)</f>
        <v>-0.127106227106227</v>
      </c>
      <c r="H212" s="21" t="n">
        <f aca="false">IF(D212=0,0,E212/D212)</f>
        <v>0.872893772893773</v>
      </c>
      <c r="I212" s="21" t="n">
        <f aca="false">VLOOKUP(B212,Targets!$A$2:$D$43,3,FALSE())</f>
        <v>0.88</v>
      </c>
      <c r="J212" s="22" t="n">
        <f aca="false">H212-I212</f>
        <v>-0.0071062271062271</v>
      </c>
      <c r="K212" s="2" t="str">
        <f aca="false">IF(J212&lt;-Targets!$F$2,"Under",IF(J212&gt;Targets!$F$2,"Over","On Track"))</f>
        <v>On Track</v>
      </c>
    </row>
    <row r="213" customFormat="false" ht="15" hidden="false" customHeight="false" outlineLevel="0" collapsed="false">
      <c r="A213" s="17" t="n">
        <v>46174</v>
      </c>
      <c r="B213" s="18" t="s">
        <v>42</v>
      </c>
      <c r="C213" s="2" t="str">
        <f aca="false">VLOOKUP(B213,Targets!$A$2:$D$43,2,FALSE())</f>
        <v>North</v>
      </c>
      <c r="D213" s="19" t="n">
        <v>2320</v>
      </c>
      <c r="E213" s="19" t="n">
        <v>2080</v>
      </c>
      <c r="F213" s="20" t="n">
        <f aca="false">E213-D213</f>
        <v>-240</v>
      </c>
      <c r="G213" s="21" t="n">
        <f aca="false">IF(D213=0,0,F213/D213)</f>
        <v>-0.103448275862069</v>
      </c>
      <c r="H213" s="21" t="n">
        <f aca="false">IF(D213=0,0,E213/D213)</f>
        <v>0.896551724137931</v>
      </c>
      <c r="I213" s="21" t="n">
        <f aca="false">VLOOKUP(B213,Targets!$A$2:$D$43,3,FALSE())</f>
        <v>0.88</v>
      </c>
      <c r="J213" s="22" t="n">
        <f aca="false">H213-I213</f>
        <v>0.016551724137931</v>
      </c>
      <c r="K213" s="2" t="str">
        <f aca="false">IF(J213&lt;-Targets!$F$2,"Under",IF(J213&gt;Targets!$F$2,"Over","On Track"))</f>
        <v>On Track</v>
      </c>
    </row>
    <row r="214" customFormat="false" ht="15" hidden="false" customHeight="false" outlineLevel="0" collapsed="false">
      <c r="A214" s="17" t="n">
        <v>46174</v>
      </c>
      <c r="B214" s="18" t="s">
        <v>44</v>
      </c>
      <c r="C214" s="2" t="str">
        <f aca="false">VLOOKUP(B214,Targets!$A$2:$D$43,2,FALSE())</f>
        <v>North</v>
      </c>
      <c r="D214" s="19" t="n">
        <v>2580</v>
      </c>
      <c r="E214" s="19" t="n">
        <v>2400</v>
      </c>
      <c r="F214" s="20" t="n">
        <f aca="false">E214-D214</f>
        <v>-180</v>
      </c>
      <c r="G214" s="21" t="n">
        <f aca="false">IF(D214=0,0,F214/D214)</f>
        <v>-0.0697674418604651</v>
      </c>
      <c r="H214" s="21" t="n">
        <f aca="false">IF(D214=0,0,E214/D214)</f>
        <v>0.930232558139535</v>
      </c>
      <c r="I214" s="21" t="n">
        <f aca="false">VLOOKUP(B214,Targets!$A$2:$D$43,3,FALSE())</f>
        <v>0.88</v>
      </c>
      <c r="J214" s="22" t="n">
        <f aca="false">H214-I214</f>
        <v>0.0502325581395349</v>
      </c>
      <c r="K214" s="2" t="str">
        <f aca="false">IF(J214&lt;-Targets!$F$2,"Under",IF(J214&gt;Targets!$F$2,"Over","On Track"))</f>
        <v>Over</v>
      </c>
    </row>
    <row r="215" customFormat="false" ht="15" hidden="false" customHeight="false" outlineLevel="0" collapsed="false">
      <c r="A215" s="17" t="n">
        <v>46174</v>
      </c>
      <c r="B215" s="18" t="s">
        <v>45</v>
      </c>
      <c r="C215" s="2" t="str">
        <f aca="false">VLOOKUP(B215,Targets!$A$2:$D$43,2,FALSE())</f>
        <v>North</v>
      </c>
      <c r="D215" s="19" t="n">
        <v>1130</v>
      </c>
      <c r="E215" s="19" t="n">
        <v>1052</v>
      </c>
      <c r="F215" s="20" t="n">
        <f aca="false">E215-D215</f>
        <v>-78</v>
      </c>
      <c r="G215" s="21" t="n">
        <f aca="false">IF(D215=0,0,F215/D215)</f>
        <v>-0.0690265486725664</v>
      </c>
      <c r="H215" s="21" t="n">
        <f aca="false">IF(D215=0,0,E215/D215)</f>
        <v>0.930973451327434</v>
      </c>
      <c r="I215" s="21" t="n">
        <f aca="false">VLOOKUP(B215,Targets!$A$2:$D$43,3,FALSE())</f>
        <v>0.88</v>
      </c>
      <c r="J215" s="22" t="n">
        <f aca="false">H215-I215</f>
        <v>0.0509734513274336</v>
      </c>
      <c r="K215" s="2" t="str">
        <f aca="false">IF(J215&lt;-Targets!$F$2,"Under",IF(J215&gt;Targets!$F$2,"Over","On Track"))</f>
        <v>Over</v>
      </c>
    </row>
    <row r="216" customFormat="false" ht="15" hidden="false" customHeight="false" outlineLevel="0" collapsed="false">
      <c r="A216" s="17" t="n">
        <v>46174</v>
      </c>
      <c r="B216" s="18" t="s">
        <v>46</v>
      </c>
      <c r="C216" s="2" t="str">
        <f aca="false">VLOOKUP(B216,Targets!$A$2:$D$43,2,FALSE())</f>
        <v>North</v>
      </c>
      <c r="D216" s="19" t="n">
        <v>2420</v>
      </c>
      <c r="E216" s="19" t="n">
        <v>1995</v>
      </c>
      <c r="F216" s="20" t="n">
        <f aca="false">E216-D216</f>
        <v>-425</v>
      </c>
      <c r="G216" s="21" t="n">
        <f aca="false">IF(D216=0,0,F216/D216)</f>
        <v>-0.175619834710744</v>
      </c>
      <c r="H216" s="21" t="n">
        <f aca="false">IF(D216=0,0,E216/D216)</f>
        <v>0.824380165289256</v>
      </c>
      <c r="I216" s="21" t="n">
        <f aca="false">VLOOKUP(B216,Targets!$A$2:$D$43,3,FALSE())</f>
        <v>0.88</v>
      </c>
      <c r="J216" s="22" t="n">
        <f aca="false">H216-I216</f>
        <v>-0.0556198347107438</v>
      </c>
      <c r="K216" s="2" t="str">
        <f aca="false">IF(J216&lt;-Targets!$F$2,"Under",IF(J216&gt;Targets!$F$2,"Over","On Track"))</f>
        <v>Under</v>
      </c>
    </row>
    <row r="217" customFormat="false" ht="15" hidden="false" customHeight="false" outlineLevel="0" collapsed="false">
      <c r="A217" s="17" t="n">
        <v>46174</v>
      </c>
      <c r="B217" s="18" t="s">
        <v>47</v>
      </c>
      <c r="C217" s="2" t="str">
        <f aca="false">VLOOKUP(B217,Targets!$A$2:$D$43,2,FALSE())</f>
        <v>North</v>
      </c>
      <c r="D217" s="19" t="n">
        <v>3240</v>
      </c>
      <c r="E217" s="19" t="n">
        <v>2777</v>
      </c>
      <c r="F217" s="20" t="n">
        <f aca="false">E217-D217</f>
        <v>-463</v>
      </c>
      <c r="G217" s="21" t="n">
        <f aca="false">IF(D217=0,0,F217/D217)</f>
        <v>-0.142901234567901</v>
      </c>
      <c r="H217" s="21" t="n">
        <f aca="false">IF(D217=0,0,E217/D217)</f>
        <v>0.857098765432099</v>
      </c>
      <c r="I217" s="21" t="n">
        <f aca="false">VLOOKUP(B217,Targets!$A$2:$D$43,3,FALSE())</f>
        <v>0.9</v>
      </c>
      <c r="J217" s="22" t="n">
        <f aca="false">H217-I217</f>
        <v>-0.0429012345679013</v>
      </c>
      <c r="K217" s="2" t="str">
        <f aca="false">IF(J217&lt;-Targets!$F$2,"Under",IF(J217&gt;Targets!$F$2,"Over","On Track"))</f>
        <v>On Track</v>
      </c>
    </row>
    <row r="218" customFormat="false" ht="15" hidden="false" customHeight="false" outlineLevel="0" collapsed="false">
      <c r="A218" s="17" t="n">
        <v>46174</v>
      </c>
      <c r="B218" s="18" t="s">
        <v>48</v>
      </c>
      <c r="C218" s="2" t="str">
        <f aca="false">VLOOKUP(B218,Targets!$A$2:$D$43,2,FALSE())</f>
        <v>North</v>
      </c>
      <c r="D218" s="19" t="n">
        <v>1910</v>
      </c>
      <c r="E218" s="19" t="n">
        <v>1599</v>
      </c>
      <c r="F218" s="20" t="n">
        <f aca="false">E218-D218</f>
        <v>-311</v>
      </c>
      <c r="G218" s="21" t="n">
        <f aca="false">IF(D218=0,0,F218/D218)</f>
        <v>-0.16282722513089</v>
      </c>
      <c r="H218" s="21" t="n">
        <f aca="false">IF(D218=0,0,E218/D218)</f>
        <v>0.83717277486911</v>
      </c>
      <c r="I218" s="21" t="n">
        <f aca="false">VLOOKUP(B218,Targets!$A$2:$D$43,3,FALSE())</f>
        <v>0.85</v>
      </c>
      <c r="J218" s="22" t="n">
        <f aca="false">H218-I218</f>
        <v>-0.0128272251308901</v>
      </c>
      <c r="K218" s="2" t="str">
        <f aca="false">IF(J218&lt;-Targets!$F$2,"Under",IF(J218&gt;Targets!$F$2,"Over","On Track"))</f>
        <v>On Track</v>
      </c>
    </row>
    <row r="219" customFormat="false" ht="15" hidden="false" customHeight="false" outlineLevel="0" collapsed="false">
      <c r="A219" s="17" t="n">
        <v>46174</v>
      </c>
      <c r="B219" s="18" t="s">
        <v>49</v>
      </c>
      <c r="C219" s="2" t="str">
        <f aca="false">VLOOKUP(B219,Targets!$A$2:$D$43,2,FALSE())</f>
        <v>South</v>
      </c>
      <c r="D219" s="19" t="n">
        <v>1180</v>
      </c>
      <c r="E219" s="19" t="n">
        <v>987</v>
      </c>
      <c r="F219" s="20" t="n">
        <f aca="false">E219-D219</f>
        <v>-193</v>
      </c>
      <c r="G219" s="21" t="n">
        <f aca="false">IF(D219=0,0,F219/D219)</f>
        <v>-0.163559322033898</v>
      </c>
      <c r="H219" s="21" t="n">
        <f aca="false">IF(D219=0,0,E219/D219)</f>
        <v>0.836440677966102</v>
      </c>
      <c r="I219" s="21" t="n">
        <f aca="false">VLOOKUP(B219,Targets!$A$2:$D$43,3,FALSE())</f>
        <v>0.92</v>
      </c>
      <c r="J219" s="22" t="n">
        <f aca="false">H219-I219</f>
        <v>-0.0835593220338984</v>
      </c>
      <c r="K219" s="2" t="str">
        <f aca="false">IF(J219&lt;-Targets!$F$2,"Under",IF(J219&gt;Targets!$F$2,"Over","On Track"))</f>
        <v>Under</v>
      </c>
    </row>
    <row r="220" customFormat="false" ht="15" hidden="false" customHeight="false" outlineLevel="0" collapsed="false">
      <c r="A220" s="17" t="n">
        <v>46174</v>
      </c>
      <c r="B220" s="18" t="s">
        <v>50</v>
      </c>
      <c r="C220" s="2" t="str">
        <f aca="false">VLOOKUP(B220,Targets!$A$2:$D$43,2,FALSE())</f>
        <v>South</v>
      </c>
      <c r="D220" s="19" t="n">
        <v>3190</v>
      </c>
      <c r="E220" s="19" t="n">
        <v>2734</v>
      </c>
      <c r="F220" s="20" t="n">
        <f aca="false">E220-D220</f>
        <v>-456</v>
      </c>
      <c r="G220" s="21" t="n">
        <f aca="false">IF(D220=0,0,F220/D220)</f>
        <v>-0.14294670846395</v>
      </c>
      <c r="H220" s="21" t="n">
        <f aca="false">IF(D220=0,0,E220/D220)</f>
        <v>0.85705329153605</v>
      </c>
      <c r="I220" s="21" t="n">
        <f aca="false">VLOOKUP(B220,Targets!$A$2:$D$43,3,FALSE())</f>
        <v>0.9</v>
      </c>
      <c r="J220" s="22" t="n">
        <f aca="false">H220-I220</f>
        <v>-0.0429467084639499</v>
      </c>
      <c r="K220" s="2" t="str">
        <f aca="false">IF(J220&lt;-Targets!$F$2,"Under",IF(J220&gt;Targets!$F$2,"Over","On Track"))</f>
        <v>On Track</v>
      </c>
    </row>
    <row r="221" customFormat="false" ht="15" hidden="false" customHeight="false" outlineLevel="0" collapsed="false">
      <c r="A221" s="17" t="n">
        <v>46174</v>
      </c>
      <c r="B221" s="18" t="s">
        <v>51</v>
      </c>
      <c r="C221" s="2" t="str">
        <f aca="false">VLOOKUP(B221,Targets!$A$2:$D$43,2,FALSE())</f>
        <v>South</v>
      </c>
      <c r="D221" s="19" t="n">
        <v>2520</v>
      </c>
      <c r="E221" s="19" t="n">
        <v>1970</v>
      </c>
      <c r="F221" s="20" t="n">
        <f aca="false">E221-D221</f>
        <v>-550</v>
      </c>
      <c r="G221" s="21" t="n">
        <f aca="false">IF(D221=0,0,F221/D221)</f>
        <v>-0.218253968253968</v>
      </c>
      <c r="H221" s="21" t="n">
        <f aca="false">IF(D221=0,0,E221/D221)</f>
        <v>0.781746031746032</v>
      </c>
      <c r="I221" s="21" t="n">
        <f aca="false">VLOOKUP(B221,Targets!$A$2:$D$43,3,FALSE())</f>
        <v>0.92</v>
      </c>
      <c r="J221" s="22" t="n">
        <f aca="false">H221-I221</f>
        <v>-0.138253968253968</v>
      </c>
      <c r="K221" s="2" t="str">
        <f aca="false">IF(J221&lt;-Targets!$F$2,"Under",IF(J221&gt;Targets!$F$2,"Over","On Track"))</f>
        <v>Under</v>
      </c>
    </row>
    <row r="222" customFormat="false" ht="15" hidden="false" customHeight="false" outlineLevel="0" collapsed="false">
      <c r="A222" s="17" t="n">
        <v>46174</v>
      </c>
      <c r="B222" s="18" t="s">
        <v>52</v>
      </c>
      <c r="C222" s="2" t="str">
        <f aca="false">VLOOKUP(B222,Targets!$A$2:$D$43,2,FALSE())</f>
        <v>South</v>
      </c>
      <c r="D222" s="19" t="n">
        <v>1390</v>
      </c>
      <c r="E222" s="19" t="n">
        <v>1123</v>
      </c>
      <c r="F222" s="20" t="n">
        <f aca="false">E222-D222</f>
        <v>-267</v>
      </c>
      <c r="G222" s="21" t="n">
        <f aca="false">IF(D222=0,0,F222/D222)</f>
        <v>-0.192086330935252</v>
      </c>
      <c r="H222" s="21" t="n">
        <f aca="false">IF(D222=0,0,E222/D222)</f>
        <v>0.807913669064748</v>
      </c>
      <c r="I222" s="21" t="n">
        <f aca="false">VLOOKUP(B222,Targets!$A$2:$D$43,3,FALSE())</f>
        <v>0.92</v>
      </c>
      <c r="J222" s="22" t="n">
        <f aca="false">H222-I222</f>
        <v>-0.112086330935252</v>
      </c>
      <c r="K222" s="2" t="str">
        <f aca="false">IF(J222&lt;-Targets!$F$2,"Under",IF(J222&gt;Targets!$F$2,"Over","On Track"))</f>
        <v>Under</v>
      </c>
    </row>
    <row r="223" customFormat="false" ht="15" hidden="false" customHeight="false" outlineLevel="0" collapsed="false">
      <c r="A223" s="17" t="n">
        <v>46174</v>
      </c>
      <c r="B223" s="18" t="s">
        <v>53</v>
      </c>
      <c r="C223" s="2" t="str">
        <f aca="false">VLOOKUP(B223,Targets!$A$2:$D$43,2,FALSE())</f>
        <v>South</v>
      </c>
      <c r="D223" s="19" t="n">
        <v>2470</v>
      </c>
      <c r="E223" s="19" t="n">
        <v>2081</v>
      </c>
      <c r="F223" s="20" t="n">
        <f aca="false">E223-D223</f>
        <v>-389</v>
      </c>
      <c r="G223" s="21" t="n">
        <f aca="false">IF(D223=0,0,F223/D223)</f>
        <v>-0.15748987854251</v>
      </c>
      <c r="H223" s="21" t="n">
        <f aca="false">IF(D223=0,0,E223/D223)</f>
        <v>0.84251012145749</v>
      </c>
      <c r="I223" s="21" t="n">
        <f aca="false">VLOOKUP(B223,Targets!$A$2:$D$43,3,FALSE())</f>
        <v>0.92</v>
      </c>
      <c r="J223" s="22" t="n">
        <f aca="false">H223-I223</f>
        <v>-0.0774898785425102</v>
      </c>
      <c r="K223" s="2" t="str">
        <f aca="false">IF(J223&lt;-Targets!$F$2,"Under",IF(J223&gt;Targets!$F$2,"Over","On Track"))</f>
        <v>Under</v>
      </c>
    </row>
    <row r="224" customFormat="false" ht="15" hidden="false" customHeight="false" outlineLevel="0" collapsed="false">
      <c r="A224" s="17" t="n">
        <v>46174</v>
      </c>
      <c r="B224" s="18" t="s">
        <v>54</v>
      </c>
      <c r="C224" s="2" t="str">
        <f aca="false">VLOOKUP(B224,Targets!$A$2:$D$43,2,FALSE())</f>
        <v>South</v>
      </c>
      <c r="D224" s="19" t="n">
        <v>3240</v>
      </c>
      <c r="E224" s="19" t="n">
        <v>2823</v>
      </c>
      <c r="F224" s="20" t="n">
        <f aca="false">E224-D224</f>
        <v>-417</v>
      </c>
      <c r="G224" s="21" t="n">
        <f aca="false">IF(D224=0,0,F224/D224)</f>
        <v>-0.128703703703704</v>
      </c>
      <c r="H224" s="21" t="n">
        <f aca="false">IF(D224=0,0,E224/D224)</f>
        <v>0.871296296296296</v>
      </c>
      <c r="I224" s="21" t="n">
        <f aca="false">VLOOKUP(B224,Targets!$A$2:$D$43,3,FALSE())</f>
        <v>0.9</v>
      </c>
      <c r="J224" s="22" t="n">
        <f aca="false">H224-I224</f>
        <v>-0.0287037037037037</v>
      </c>
      <c r="K224" s="2" t="str">
        <f aca="false">IF(J224&lt;-Targets!$F$2,"Under",IF(J224&gt;Targets!$F$2,"Over","On Track"))</f>
        <v>On Track</v>
      </c>
    </row>
    <row r="225" customFormat="false" ht="15" hidden="false" customHeight="false" outlineLevel="0" collapsed="false">
      <c r="A225" s="17" t="n">
        <v>46174</v>
      </c>
      <c r="B225" s="18" t="s">
        <v>55</v>
      </c>
      <c r="C225" s="2" t="str">
        <f aca="false">VLOOKUP(B225,Targets!$A$2:$D$43,2,FALSE())</f>
        <v>South</v>
      </c>
      <c r="D225" s="19" t="n">
        <v>1390</v>
      </c>
      <c r="E225" s="19" t="n">
        <v>1250</v>
      </c>
      <c r="F225" s="20" t="n">
        <f aca="false">E225-D225</f>
        <v>-140</v>
      </c>
      <c r="G225" s="21" t="n">
        <f aca="false">IF(D225=0,0,F225/D225)</f>
        <v>-0.100719424460432</v>
      </c>
      <c r="H225" s="21" t="n">
        <f aca="false">IF(D225=0,0,E225/D225)</f>
        <v>0.899280575539568</v>
      </c>
      <c r="I225" s="21" t="n">
        <f aca="false">VLOOKUP(B225,Targets!$A$2:$D$43,3,FALSE())</f>
        <v>0.92</v>
      </c>
      <c r="J225" s="22" t="n">
        <f aca="false">H225-I225</f>
        <v>-0.0207194244604317</v>
      </c>
      <c r="K225" s="2" t="str">
        <f aca="false">IF(J225&lt;-Targets!$F$2,"Under",IF(J225&gt;Targets!$F$2,"Over","On Track"))</f>
        <v>On Track</v>
      </c>
    </row>
    <row r="226" customFormat="false" ht="15" hidden="false" customHeight="false" outlineLevel="0" collapsed="false">
      <c r="A226" s="17" t="n">
        <v>46174</v>
      </c>
      <c r="B226" s="18" t="s">
        <v>56</v>
      </c>
      <c r="C226" s="2" t="str">
        <f aca="false">VLOOKUP(B226,Targets!$A$2:$D$43,2,FALSE())</f>
        <v>East</v>
      </c>
      <c r="D226" s="19" t="n">
        <v>2940</v>
      </c>
      <c r="E226" s="19" t="n">
        <v>2498</v>
      </c>
      <c r="F226" s="20" t="n">
        <f aca="false">E226-D226</f>
        <v>-442</v>
      </c>
      <c r="G226" s="21" t="n">
        <f aca="false">IF(D226=0,0,F226/D226)</f>
        <v>-0.150340136054422</v>
      </c>
      <c r="H226" s="21" t="n">
        <f aca="false">IF(D226=0,0,E226/D226)</f>
        <v>0.849659863945578</v>
      </c>
      <c r="I226" s="21" t="n">
        <f aca="false">VLOOKUP(B226,Targets!$A$2:$D$43,3,FALSE())</f>
        <v>0.92</v>
      </c>
      <c r="J226" s="22" t="n">
        <f aca="false">H226-I226</f>
        <v>-0.0703401360544218</v>
      </c>
      <c r="K226" s="2" t="str">
        <f aca="false">IF(J226&lt;-Targets!$F$2,"Under",IF(J226&gt;Targets!$F$2,"Over","On Track"))</f>
        <v>Under</v>
      </c>
    </row>
    <row r="227" customFormat="false" ht="15" hidden="false" customHeight="false" outlineLevel="0" collapsed="false">
      <c r="A227" s="17" t="n">
        <v>46174</v>
      </c>
      <c r="B227" s="18" t="s">
        <v>57</v>
      </c>
      <c r="C227" s="2" t="str">
        <f aca="false">VLOOKUP(B227,Targets!$A$2:$D$43,2,FALSE())</f>
        <v>East</v>
      </c>
      <c r="D227" s="19" t="n">
        <v>2580</v>
      </c>
      <c r="E227" s="19" t="n">
        <v>2191</v>
      </c>
      <c r="F227" s="20" t="n">
        <f aca="false">E227-D227</f>
        <v>-389</v>
      </c>
      <c r="G227" s="21" t="n">
        <f aca="false">IF(D227=0,0,F227/D227)</f>
        <v>-0.15077519379845</v>
      </c>
      <c r="H227" s="21" t="n">
        <f aca="false">IF(D227=0,0,E227/D227)</f>
        <v>0.84922480620155</v>
      </c>
      <c r="I227" s="21" t="n">
        <f aca="false">VLOOKUP(B227,Targets!$A$2:$D$43,3,FALSE())</f>
        <v>0.88</v>
      </c>
      <c r="J227" s="22" t="n">
        <f aca="false">H227-I227</f>
        <v>-0.0307751937984496</v>
      </c>
      <c r="K227" s="2" t="str">
        <f aca="false">IF(J227&lt;-Targets!$F$2,"Under",IF(J227&gt;Targets!$F$2,"Over","On Track"))</f>
        <v>On Track</v>
      </c>
    </row>
    <row r="228" customFormat="false" ht="15" hidden="false" customHeight="false" outlineLevel="0" collapsed="false">
      <c r="A228" s="17" t="n">
        <v>46174</v>
      </c>
      <c r="B228" s="18" t="s">
        <v>58</v>
      </c>
      <c r="C228" s="2" t="str">
        <f aca="false">VLOOKUP(B228,Targets!$A$2:$D$43,2,FALSE())</f>
        <v>East</v>
      </c>
      <c r="D228" s="19" t="n">
        <v>1440</v>
      </c>
      <c r="E228" s="19" t="n">
        <v>1238</v>
      </c>
      <c r="F228" s="20" t="n">
        <f aca="false">E228-D228</f>
        <v>-202</v>
      </c>
      <c r="G228" s="21" t="n">
        <f aca="false">IF(D228=0,0,F228/D228)</f>
        <v>-0.140277777777778</v>
      </c>
      <c r="H228" s="21" t="n">
        <f aca="false">IF(D228=0,0,E228/D228)</f>
        <v>0.859722222222222</v>
      </c>
      <c r="I228" s="21" t="n">
        <f aca="false">VLOOKUP(B228,Targets!$A$2:$D$43,3,FALSE())</f>
        <v>0.92</v>
      </c>
      <c r="J228" s="22" t="n">
        <f aca="false">H228-I228</f>
        <v>-0.0602777777777778</v>
      </c>
      <c r="K228" s="2" t="str">
        <f aca="false">IF(J228&lt;-Targets!$F$2,"Under",IF(J228&gt;Targets!$F$2,"Over","On Track"))</f>
        <v>Under</v>
      </c>
    </row>
    <row r="229" customFormat="false" ht="15" hidden="false" customHeight="false" outlineLevel="0" collapsed="false">
      <c r="A229" s="17" t="n">
        <v>46174</v>
      </c>
      <c r="B229" s="18" t="s">
        <v>59</v>
      </c>
      <c r="C229" s="2" t="str">
        <f aca="false">VLOOKUP(B229,Targets!$A$2:$D$43,2,FALSE())</f>
        <v>East</v>
      </c>
      <c r="D229" s="19" t="n">
        <v>1340</v>
      </c>
      <c r="E229" s="19" t="n">
        <v>1209</v>
      </c>
      <c r="F229" s="20" t="n">
        <f aca="false">E229-D229</f>
        <v>-131</v>
      </c>
      <c r="G229" s="21" t="n">
        <f aca="false">IF(D229=0,0,F229/D229)</f>
        <v>-0.0977611940298507</v>
      </c>
      <c r="H229" s="21" t="n">
        <f aca="false">IF(D229=0,0,E229/D229)</f>
        <v>0.902238805970149</v>
      </c>
      <c r="I229" s="21" t="n">
        <f aca="false">VLOOKUP(B229,Targets!$A$2:$D$43,3,FALSE())</f>
        <v>0.88</v>
      </c>
      <c r="J229" s="22" t="n">
        <f aca="false">H229-I229</f>
        <v>0.0222388059701493</v>
      </c>
      <c r="K229" s="2" t="str">
        <f aca="false">IF(J229&lt;-Targets!$F$2,"Under",IF(J229&gt;Targets!$F$2,"Over","On Track"))</f>
        <v>On Track</v>
      </c>
    </row>
    <row r="230" customFormat="false" ht="15" hidden="false" customHeight="false" outlineLevel="0" collapsed="false">
      <c r="A230" s="17" t="n">
        <v>46174</v>
      </c>
      <c r="B230" s="18" t="s">
        <v>60</v>
      </c>
      <c r="C230" s="2" t="str">
        <f aca="false">VLOOKUP(B230,Targets!$A$2:$D$43,2,FALSE())</f>
        <v>East</v>
      </c>
      <c r="D230" s="19" t="n">
        <v>3140</v>
      </c>
      <c r="E230" s="19" t="n">
        <v>2771</v>
      </c>
      <c r="F230" s="20" t="n">
        <f aca="false">E230-D230</f>
        <v>-369</v>
      </c>
      <c r="G230" s="21" t="n">
        <f aca="false">IF(D230=0,0,F230/D230)</f>
        <v>-0.117515923566879</v>
      </c>
      <c r="H230" s="21" t="n">
        <f aca="false">IF(D230=0,0,E230/D230)</f>
        <v>0.882484076433121</v>
      </c>
      <c r="I230" s="21" t="n">
        <f aca="false">VLOOKUP(B230,Targets!$A$2:$D$43,3,FALSE())</f>
        <v>0.88</v>
      </c>
      <c r="J230" s="22" t="n">
        <f aca="false">H230-I230</f>
        <v>0.00248407643312099</v>
      </c>
      <c r="K230" s="2" t="str">
        <f aca="false">IF(J230&lt;-Targets!$F$2,"Under",IF(J230&gt;Targets!$F$2,"Over","On Track"))</f>
        <v>On Track</v>
      </c>
    </row>
    <row r="231" customFormat="false" ht="15" hidden="false" customHeight="false" outlineLevel="0" collapsed="false">
      <c r="A231" s="17" t="n">
        <v>46174</v>
      </c>
      <c r="B231" s="18" t="s">
        <v>61</v>
      </c>
      <c r="C231" s="2" t="str">
        <f aca="false">VLOOKUP(B231,Targets!$A$2:$D$43,2,FALSE())</f>
        <v>East</v>
      </c>
      <c r="D231" s="19" t="n">
        <v>1700</v>
      </c>
      <c r="E231" s="19" t="n">
        <v>1432</v>
      </c>
      <c r="F231" s="20" t="n">
        <f aca="false">E231-D231</f>
        <v>-268</v>
      </c>
      <c r="G231" s="21" t="n">
        <f aca="false">IF(D231=0,0,F231/D231)</f>
        <v>-0.157647058823529</v>
      </c>
      <c r="H231" s="21" t="n">
        <f aca="false">IF(D231=0,0,E231/D231)</f>
        <v>0.842352941176471</v>
      </c>
      <c r="I231" s="21" t="n">
        <f aca="false">VLOOKUP(B231,Targets!$A$2:$D$43,3,FALSE())</f>
        <v>0.88</v>
      </c>
      <c r="J231" s="22" t="n">
        <f aca="false">H231-I231</f>
        <v>-0.0376470588235294</v>
      </c>
      <c r="K231" s="2" t="str">
        <f aca="false">IF(J231&lt;-Targets!$F$2,"Under",IF(J231&gt;Targets!$F$2,"Over","On Track"))</f>
        <v>On Track</v>
      </c>
    </row>
    <row r="232" customFormat="false" ht="15" hidden="false" customHeight="false" outlineLevel="0" collapsed="false">
      <c r="A232" s="17" t="n">
        <v>46174</v>
      </c>
      <c r="B232" s="18" t="s">
        <v>62</v>
      </c>
      <c r="C232" s="2" t="str">
        <f aca="false">VLOOKUP(B232,Targets!$A$2:$D$43,2,FALSE())</f>
        <v>East</v>
      </c>
      <c r="D232" s="19" t="n">
        <v>1960</v>
      </c>
      <c r="E232" s="19" t="n">
        <v>1704</v>
      </c>
      <c r="F232" s="20" t="n">
        <f aca="false">E232-D232</f>
        <v>-256</v>
      </c>
      <c r="G232" s="21" t="n">
        <f aca="false">IF(D232=0,0,F232/D232)</f>
        <v>-0.130612244897959</v>
      </c>
      <c r="H232" s="21" t="n">
        <f aca="false">IF(D232=0,0,E232/D232)</f>
        <v>0.869387755102041</v>
      </c>
      <c r="I232" s="21" t="n">
        <f aca="false">VLOOKUP(B232,Targets!$A$2:$D$43,3,FALSE())</f>
        <v>0.92</v>
      </c>
      <c r="J232" s="22" t="n">
        <f aca="false">H232-I232</f>
        <v>-0.0506122448979592</v>
      </c>
      <c r="K232" s="2" t="str">
        <f aca="false">IF(J232&lt;-Targets!$F$2,"Under",IF(J232&gt;Targets!$F$2,"Over","On Track"))</f>
        <v>Under</v>
      </c>
    </row>
    <row r="233" customFormat="false" ht="15" hidden="false" customHeight="false" outlineLevel="0" collapsed="false">
      <c r="A233" s="17" t="n">
        <v>46174</v>
      </c>
      <c r="B233" s="18" t="s">
        <v>63</v>
      </c>
      <c r="C233" s="2" t="str">
        <f aca="false">VLOOKUP(B233,Targets!$A$2:$D$43,2,FALSE())</f>
        <v>West</v>
      </c>
      <c r="D233" s="19" t="n">
        <v>2470</v>
      </c>
      <c r="E233" s="19" t="n">
        <v>2235</v>
      </c>
      <c r="F233" s="20" t="n">
        <f aca="false">E233-D233</f>
        <v>-235</v>
      </c>
      <c r="G233" s="21" t="n">
        <f aca="false">IF(D233=0,0,F233/D233)</f>
        <v>-0.0951417004048583</v>
      </c>
      <c r="H233" s="21" t="n">
        <f aca="false">IF(D233=0,0,E233/D233)</f>
        <v>0.904858299595142</v>
      </c>
      <c r="I233" s="21" t="n">
        <f aca="false">VLOOKUP(B233,Targets!$A$2:$D$43,3,FALSE())</f>
        <v>0.85</v>
      </c>
      <c r="J233" s="22" t="n">
        <f aca="false">H233-I233</f>
        <v>0.0548582995951418</v>
      </c>
      <c r="K233" s="2" t="str">
        <f aca="false">IF(J233&lt;-Targets!$F$2,"Under",IF(J233&gt;Targets!$F$2,"Over","On Track"))</f>
        <v>Over</v>
      </c>
    </row>
    <row r="234" customFormat="false" ht="15" hidden="false" customHeight="false" outlineLevel="0" collapsed="false">
      <c r="A234" s="17" t="n">
        <v>46174</v>
      </c>
      <c r="B234" s="18" t="s">
        <v>64</v>
      </c>
      <c r="C234" s="2" t="str">
        <f aca="false">VLOOKUP(B234,Targets!$A$2:$D$43,2,FALSE())</f>
        <v>West</v>
      </c>
      <c r="D234" s="19" t="n">
        <v>1960</v>
      </c>
      <c r="E234" s="19" t="n">
        <v>1978</v>
      </c>
      <c r="F234" s="20" t="n">
        <f aca="false">E234-D234</f>
        <v>18</v>
      </c>
      <c r="G234" s="21" t="n">
        <f aca="false">IF(D234=0,0,F234/D234)</f>
        <v>0.00918367346938776</v>
      </c>
      <c r="H234" s="21" t="n">
        <f aca="false">IF(D234=0,0,E234/D234)</f>
        <v>1.00918367346939</v>
      </c>
      <c r="I234" s="21" t="n">
        <f aca="false">VLOOKUP(B234,Targets!$A$2:$D$43,3,FALSE())</f>
        <v>0.92</v>
      </c>
      <c r="J234" s="22" t="n">
        <f aca="false">H234-I234</f>
        <v>0.0891836734693877</v>
      </c>
      <c r="K234" s="2" t="str">
        <f aca="false">IF(J234&lt;-Targets!$F$2,"Under",IF(J234&gt;Targets!$F$2,"Over","On Track"))</f>
        <v>Over</v>
      </c>
    </row>
    <row r="235" customFormat="false" ht="15" hidden="false" customHeight="false" outlineLevel="0" collapsed="false">
      <c r="A235" s="17" t="n">
        <v>46174</v>
      </c>
      <c r="B235" s="18" t="s">
        <v>65</v>
      </c>
      <c r="C235" s="2" t="str">
        <f aca="false">VLOOKUP(B235,Targets!$A$2:$D$43,2,FALSE())</f>
        <v>West</v>
      </c>
      <c r="D235" s="19" t="n">
        <v>930</v>
      </c>
      <c r="E235" s="19" t="n">
        <v>857</v>
      </c>
      <c r="F235" s="20" t="n">
        <f aca="false">E235-D235</f>
        <v>-73</v>
      </c>
      <c r="G235" s="21" t="n">
        <f aca="false">IF(D235=0,0,F235/D235)</f>
        <v>-0.078494623655914</v>
      </c>
      <c r="H235" s="21" t="n">
        <f aca="false">IF(D235=0,0,E235/D235)</f>
        <v>0.921505376344086</v>
      </c>
      <c r="I235" s="21" t="n">
        <f aca="false">VLOOKUP(B235,Targets!$A$2:$D$43,3,FALSE())</f>
        <v>0.92</v>
      </c>
      <c r="J235" s="22" t="n">
        <f aca="false">H235-I235</f>
        <v>0.00150537634408598</v>
      </c>
      <c r="K235" s="2" t="str">
        <f aca="false">IF(J235&lt;-Targets!$F$2,"Under",IF(J235&gt;Targets!$F$2,"Over","On Track"))</f>
        <v>On Track</v>
      </c>
    </row>
    <row r="236" customFormat="false" ht="15" hidden="false" customHeight="false" outlineLevel="0" collapsed="false">
      <c r="A236" s="17" t="n">
        <v>46174</v>
      </c>
      <c r="B236" s="18" t="s">
        <v>66</v>
      </c>
      <c r="C236" s="2" t="str">
        <f aca="false">VLOOKUP(B236,Targets!$A$2:$D$43,2,FALSE())</f>
        <v>West</v>
      </c>
      <c r="D236" s="19" t="n">
        <v>1490</v>
      </c>
      <c r="E236" s="19" t="n">
        <v>1406</v>
      </c>
      <c r="F236" s="20" t="n">
        <f aca="false">E236-D236</f>
        <v>-84</v>
      </c>
      <c r="G236" s="21" t="n">
        <f aca="false">IF(D236=0,0,F236/D236)</f>
        <v>-0.0563758389261745</v>
      </c>
      <c r="H236" s="21" t="n">
        <f aca="false">IF(D236=0,0,E236/D236)</f>
        <v>0.943624161073826</v>
      </c>
      <c r="I236" s="21" t="n">
        <f aca="false">VLOOKUP(B236,Targets!$A$2:$D$43,3,FALSE())</f>
        <v>0.92</v>
      </c>
      <c r="J236" s="22" t="n">
        <f aca="false">H236-I236</f>
        <v>0.0236241610738255</v>
      </c>
      <c r="K236" s="2" t="str">
        <f aca="false">IF(J236&lt;-Targets!$F$2,"Under",IF(J236&gt;Targets!$F$2,"Over","On Track"))</f>
        <v>On Track</v>
      </c>
    </row>
    <row r="237" customFormat="false" ht="15" hidden="false" customHeight="false" outlineLevel="0" collapsed="false">
      <c r="A237" s="17" t="n">
        <v>46174</v>
      </c>
      <c r="B237" s="18" t="s">
        <v>67</v>
      </c>
      <c r="C237" s="2" t="str">
        <f aca="false">VLOOKUP(B237,Targets!$A$2:$D$43,2,FALSE())</f>
        <v>West</v>
      </c>
      <c r="D237" s="19" t="n">
        <v>2010</v>
      </c>
      <c r="E237" s="19" t="n">
        <v>1941</v>
      </c>
      <c r="F237" s="20" t="n">
        <f aca="false">E237-D237</f>
        <v>-69</v>
      </c>
      <c r="G237" s="21" t="n">
        <f aca="false">IF(D237=0,0,F237/D237)</f>
        <v>-0.0343283582089552</v>
      </c>
      <c r="H237" s="21" t="n">
        <f aca="false">IF(D237=0,0,E237/D237)</f>
        <v>0.965671641791045</v>
      </c>
      <c r="I237" s="21" t="n">
        <f aca="false">VLOOKUP(B237,Targets!$A$2:$D$43,3,FALSE())</f>
        <v>0.92</v>
      </c>
      <c r="J237" s="22" t="n">
        <f aca="false">H237-I237</f>
        <v>0.0456716417910448</v>
      </c>
      <c r="K237" s="2" t="str">
        <f aca="false">IF(J237&lt;-Targets!$F$2,"Under",IF(J237&gt;Targets!$F$2,"Over","On Track"))</f>
        <v>On Track</v>
      </c>
    </row>
    <row r="238" customFormat="false" ht="15" hidden="false" customHeight="false" outlineLevel="0" collapsed="false">
      <c r="A238" s="17" t="n">
        <v>46174</v>
      </c>
      <c r="B238" s="18" t="s">
        <v>68</v>
      </c>
      <c r="C238" s="2" t="str">
        <f aca="false">VLOOKUP(B238,Targets!$A$2:$D$43,2,FALSE())</f>
        <v>West</v>
      </c>
      <c r="D238" s="19" t="n">
        <v>2730</v>
      </c>
      <c r="E238" s="19" t="n">
        <v>2569</v>
      </c>
      <c r="F238" s="20" t="n">
        <f aca="false">E238-D238</f>
        <v>-161</v>
      </c>
      <c r="G238" s="21" t="n">
        <f aca="false">IF(D238=0,0,F238/D238)</f>
        <v>-0.058974358974359</v>
      </c>
      <c r="H238" s="21" t="n">
        <f aca="false">IF(D238=0,0,E238/D238)</f>
        <v>0.941025641025641</v>
      </c>
      <c r="I238" s="21" t="n">
        <f aca="false">VLOOKUP(B238,Targets!$A$2:$D$43,3,FALSE())</f>
        <v>0.9</v>
      </c>
      <c r="J238" s="22" t="n">
        <f aca="false">H238-I238</f>
        <v>0.041025641025641</v>
      </c>
      <c r="K238" s="2" t="str">
        <f aca="false">IF(J238&lt;-Targets!$F$2,"Under",IF(J238&gt;Targets!$F$2,"Over","On Track"))</f>
        <v>On Track</v>
      </c>
    </row>
    <row r="239" customFormat="false" ht="15" hidden="false" customHeight="false" outlineLevel="0" collapsed="false">
      <c r="A239" s="17" t="n">
        <v>46174</v>
      </c>
      <c r="B239" s="18" t="s">
        <v>69</v>
      </c>
      <c r="C239" s="2" t="str">
        <f aca="false">VLOOKUP(B239,Targets!$A$2:$D$43,2,FALSE())</f>
        <v>West</v>
      </c>
      <c r="D239" s="19" t="n">
        <v>2320</v>
      </c>
      <c r="E239" s="19" t="n">
        <v>2266</v>
      </c>
      <c r="F239" s="20" t="n">
        <f aca="false">E239-D239</f>
        <v>-54</v>
      </c>
      <c r="G239" s="21" t="n">
        <f aca="false">IF(D239=0,0,F239/D239)</f>
        <v>-0.0232758620689655</v>
      </c>
      <c r="H239" s="21" t="n">
        <f aca="false">IF(D239=0,0,E239/D239)</f>
        <v>0.976724137931035</v>
      </c>
      <c r="I239" s="21" t="n">
        <f aca="false">VLOOKUP(B239,Targets!$A$2:$D$43,3,FALSE())</f>
        <v>0.92</v>
      </c>
      <c r="J239" s="22" t="n">
        <f aca="false">H239-I239</f>
        <v>0.0567241379310345</v>
      </c>
      <c r="K239" s="2" t="str">
        <f aca="false">IF(J239&lt;-Targets!$F$2,"Under",IF(J239&gt;Targets!$F$2,"Over","On Track"))</f>
        <v>Over</v>
      </c>
    </row>
    <row r="240" customFormat="false" ht="15" hidden="false" customHeight="false" outlineLevel="0" collapsed="false">
      <c r="A240" s="17" t="n">
        <v>46174</v>
      </c>
      <c r="B240" s="18" t="s">
        <v>70</v>
      </c>
      <c r="C240" s="2" t="str">
        <f aca="false">VLOOKUP(B240,Targets!$A$2:$D$43,2,FALSE())</f>
        <v>Central</v>
      </c>
      <c r="D240" s="19" t="n">
        <v>1910</v>
      </c>
      <c r="E240" s="19" t="n">
        <v>1547</v>
      </c>
      <c r="F240" s="20" t="n">
        <f aca="false">E240-D240</f>
        <v>-363</v>
      </c>
      <c r="G240" s="21" t="n">
        <f aca="false">IF(D240=0,0,F240/D240)</f>
        <v>-0.190052356020942</v>
      </c>
      <c r="H240" s="21" t="n">
        <f aca="false">IF(D240=0,0,E240/D240)</f>
        <v>0.809947643979058</v>
      </c>
      <c r="I240" s="21" t="n">
        <f aca="false">VLOOKUP(B240,Targets!$A$2:$D$43,3,FALSE())</f>
        <v>0.9</v>
      </c>
      <c r="J240" s="22" t="n">
        <f aca="false">H240-I240</f>
        <v>-0.0900523560209424</v>
      </c>
      <c r="K240" s="2" t="str">
        <f aca="false">IF(J240&lt;-Targets!$F$2,"Under",IF(J240&gt;Targets!$F$2,"Over","On Track"))</f>
        <v>Under</v>
      </c>
    </row>
    <row r="241" customFormat="false" ht="15" hidden="false" customHeight="false" outlineLevel="0" collapsed="false">
      <c r="A241" s="17" t="n">
        <v>46174</v>
      </c>
      <c r="B241" s="18" t="s">
        <v>71</v>
      </c>
      <c r="C241" s="2" t="str">
        <f aca="false">VLOOKUP(B241,Targets!$A$2:$D$43,2,FALSE())</f>
        <v>Central</v>
      </c>
      <c r="D241" s="19" t="n">
        <v>1340</v>
      </c>
      <c r="E241" s="19" t="n">
        <v>1046</v>
      </c>
      <c r="F241" s="20" t="n">
        <f aca="false">E241-D241</f>
        <v>-294</v>
      </c>
      <c r="G241" s="21" t="n">
        <f aca="false">IF(D241=0,0,F241/D241)</f>
        <v>-0.219402985074627</v>
      </c>
      <c r="H241" s="21" t="n">
        <f aca="false">IF(D241=0,0,E241/D241)</f>
        <v>0.780597014925373</v>
      </c>
      <c r="I241" s="21" t="n">
        <f aca="false">VLOOKUP(B241,Targets!$A$2:$D$43,3,FALSE())</f>
        <v>0.85</v>
      </c>
      <c r="J241" s="22" t="n">
        <f aca="false">H241-I241</f>
        <v>-0.0694029850746268</v>
      </c>
      <c r="K241" s="2" t="str">
        <f aca="false">IF(J241&lt;-Targets!$F$2,"Under",IF(J241&gt;Targets!$F$2,"Over","On Track"))</f>
        <v>Under</v>
      </c>
    </row>
    <row r="242" customFormat="false" ht="15" hidden="false" customHeight="false" outlineLevel="0" collapsed="false">
      <c r="A242" s="17" t="n">
        <v>46174</v>
      </c>
      <c r="B242" s="18" t="s">
        <v>72</v>
      </c>
      <c r="C242" s="2" t="str">
        <f aca="false">VLOOKUP(B242,Targets!$A$2:$D$43,2,FALSE())</f>
        <v>Central</v>
      </c>
      <c r="D242" s="19" t="n">
        <v>2780</v>
      </c>
      <c r="E242" s="19" t="n">
        <v>1960</v>
      </c>
      <c r="F242" s="20" t="n">
        <f aca="false">E242-D242</f>
        <v>-820</v>
      </c>
      <c r="G242" s="21" t="n">
        <f aca="false">IF(D242=0,0,F242/D242)</f>
        <v>-0.294964028776978</v>
      </c>
      <c r="H242" s="21" t="n">
        <f aca="false">IF(D242=0,0,E242/D242)</f>
        <v>0.705035971223022</v>
      </c>
      <c r="I242" s="21" t="n">
        <f aca="false">VLOOKUP(B242,Targets!$A$2:$D$43,3,FALSE())</f>
        <v>0.85</v>
      </c>
      <c r="J242" s="22" t="n">
        <f aca="false">H242-I242</f>
        <v>-0.144964028776978</v>
      </c>
      <c r="K242" s="2" t="str">
        <f aca="false">IF(J242&lt;-Targets!$F$2,"Under",IF(J242&gt;Targets!$F$2,"Over","On Track"))</f>
        <v>Under</v>
      </c>
    </row>
    <row r="243" customFormat="false" ht="15" hidden="false" customHeight="false" outlineLevel="0" collapsed="false">
      <c r="A243" s="17" t="n">
        <v>46174</v>
      </c>
      <c r="B243" s="18" t="s">
        <v>73</v>
      </c>
      <c r="C243" s="2" t="str">
        <f aca="false">VLOOKUP(B243,Targets!$A$2:$D$43,2,FALSE())</f>
        <v>Central</v>
      </c>
      <c r="D243" s="19" t="n">
        <v>1340</v>
      </c>
      <c r="E243" s="19" t="n">
        <v>1089</v>
      </c>
      <c r="F243" s="20" t="n">
        <f aca="false">E243-D243</f>
        <v>-251</v>
      </c>
      <c r="G243" s="21" t="n">
        <f aca="false">IF(D243=0,0,F243/D243)</f>
        <v>-0.187313432835821</v>
      </c>
      <c r="H243" s="21" t="n">
        <f aca="false">IF(D243=0,0,E243/D243)</f>
        <v>0.812686567164179</v>
      </c>
      <c r="I243" s="21" t="n">
        <f aca="false">VLOOKUP(B243,Targets!$A$2:$D$43,3,FALSE())</f>
        <v>0.85</v>
      </c>
      <c r="J243" s="22" t="n">
        <f aca="false">H243-I243</f>
        <v>-0.0373134328358209</v>
      </c>
      <c r="K243" s="2" t="str">
        <f aca="false">IF(J243&lt;-Targets!$F$2,"Under",IF(J243&gt;Targets!$F$2,"Over","On Track"))</f>
        <v>On Track</v>
      </c>
    </row>
    <row r="244" customFormat="false" ht="15" hidden="false" customHeight="false" outlineLevel="0" collapsed="false">
      <c r="A244" s="17" t="n">
        <v>46174</v>
      </c>
      <c r="B244" s="18" t="s">
        <v>74</v>
      </c>
      <c r="C244" s="2" t="str">
        <f aca="false">VLOOKUP(B244,Targets!$A$2:$D$43,2,FALSE())</f>
        <v>Central</v>
      </c>
      <c r="D244" s="19" t="n">
        <v>2630</v>
      </c>
      <c r="E244" s="19" t="n">
        <v>2271</v>
      </c>
      <c r="F244" s="20" t="n">
        <f aca="false">E244-D244</f>
        <v>-359</v>
      </c>
      <c r="G244" s="21" t="n">
        <f aca="false">IF(D244=0,0,F244/D244)</f>
        <v>-0.136501901140684</v>
      </c>
      <c r="H244" s="21" t="n">
        <f aca="false">IF(D244=0,0,E244/D244)</f>
        <v>0.863498098859316</v>
      </c>
      <c r="I244" s="21" t="n">
        <f aca="false">VLOOKUP(B244,Targets!$A$2:$D$43,3,FALSE())</f>
        <v>0.85</v>
      </c>
      <c r="J244" s="22" t="n">
        <f aca="false">H244-I244</f>
        <v>0.0134980988593156</v>
      </c>
      <c r="K244" s="2" t="str">
        <f aca="false">IF(J244&lt;-Targets!$F$2,"Under",IF(J244&gt;Targets!$F$2,"Over","On Track"))</f>
        <v>On Track</v>
      </c>
    </row>
    <row r="245" customFormat="false" ht="15" hidden="false" customHeight="false" outlineLevel="0" collapsed="false">
      <c r="A245" s="17" t="n">
        <v>46174</v>
      </c>
      <c r="B245" s="18" t="s">
        <v>75</v>
      </c>
      <c r="C245" s="2" t="str">
        <f aca="false">VLOOKUP(B245,Targets!$A$2:$D$43,2,FALSE())</f>
        <v>Central</v>
      </c>
      <c r="D245" s="19" t="n">
        <v>2060</v>
      </c>
      <c r="E245" s="19" t="n">
        <v>1519</v>
      </c>
      <c r="F245" s="20" t="n">
        <f aca="false">E245-D245</f>
        <v>-541</v>
      </c>
      <c r="G245" s="21" t="n">
        <f aca="false">IF(D245=0,0,F245/D245)</f>
        <v>-0.262621359223301</v>
      </c>
      <c r="H245" s="21" t="n">
        <f aca="false">IF(D245=0,0,E245/D245)</f>
        <v>0.737378640776699</v>
      </c>
      <c r="I245" s="21" t="n">
        <f aca="false">VLOOKUP(B245,Targets!$A$2:$D$43,3,FALSE())</f>
        <v>0.88</v>
      </c>
      <c r="J245" s="22" t="n">
        <f aca="false">H245-I245</f>
        <v>-0.142621359223301</v>
      </c>
      <c r="K245" s="2" t="str">
        <f aca="false">IF(J245&lt;-Targets!$F$2,"Under",IF(J245&gt;Targets!$F$2,"Over","On Track"))</f>
        <v>Under</v>
      </c>
    </row>
    <row r="246" customFormat="false" ht="15" hidden="false" customHeight="false" outlineLevel="0" collapsed="false">
      <c r="A246" s="17" t="n">
        <v>46174</v>
      </c>
      <c r="B246" s="18" t="s">
        <v>76</v>
      </c>
      <c r="C246" s="2" t="str">
        <f aca="false">VLOOKUP(B246,Targets!$A$2:$D$43,2,FALSE())</f>
        <v>Central</v>
      </c>
      <c r="D246" s="19" t="n">
        <v>2210</v>
      </c>
      <c r="E246" s="19" t="n">
        <v>1831</v>
      </c>
      <c r="F246" s="20" t="n">
        <f aca="false">E246-D246</f>
        <v>-379</v>
      </c>
      <c r="G246" s="21" t="n">
        <f aca="false">IF(D246=0,0,F246/D246)</f>
        <v>-0.171493212669683</v>
      </c>
      <c r="H246" s="21" t="n">
        <f aca="false">IF(D246=0,0,E246/D246)</f>
        <v>0.828506787330317</v>
      </c>
      <c r="I246" s="21" t="n">
        <f aca="false">VLOOKUP(B246,Targets!$A$2:$D$43,3,FALSE())</f>
        <v>0.9</v>
      </c>
      <c r="J246" s="22" t="n">
        <f aca="false">H246-I246</f>
        <v>-0.0714932126696832</v>
      </c>
      <c r="K246" s="2" t="str">
        <f aca="false">IF(J246&lt;-Targets!$F$2,"Under",IF(J246&gt;Targets!$F$2,"Over","On Track"))</f>
        <v>Under</v>
      </c>
    </row>
    <row r="247" customFormat="false" ht="15" hidden="false" customHeight="false" outlineLevel="0" collapsed="false">
      <c r="A247" s="17" t="n">
        <v>46174</v>
      </c>
      <c r="B247" s="18" t="s">
        <v>77</v>
      </c>
      <c r="C247" s="2" t="str">
        <f aca="false">VLOOKUP(B247,Targets!$A$2:$D$43,2,FALSE())</f>
        <v>North-East</v>
      </c>
      <c r="D247" s="19" t="n">
        <v>1800</v>
      </c>
      <c r="E247" s="19" t="n">
        <v>1539</v>
      </c>
      <c r="F247" s="20" t="n">
        <f aca="false">E247-D247</f>
        <v>-261</v>
      </c>
      <c r="G247" s="21" t="n">
        <f aca="false">IF(D247=0,0,F247/D247)</f>
        <v>-0.145</v>
      </c>
      <c r="H247" s="21" t="n">
        <f aca="false">IF(D247=0,0,E247/D247)</f>
        <v>0.855</v>
      </c>
      <c r="I247" s="21" t="n">
        <f aca="false">VLOOKUP(B247,Targets!$A$2:$D$43,3,FALSE())</f>
        <v>0.88</v>
      </c>
      <c r="J247" s="22" t="n">
        <f aca="false">H247-I247</f>
        <v>-0.025</v>
      </c>
      <c r="K247" s="2" t="str">
        <f aca="false">IF(J247&lt;-Targets!$F$2,"Under",IF(J247&gt;Targets!$F$2,"Over","On Track"))</f>
        <v>On Track</v>
      </c>
    </row>
    <row r="248" customFormat="false" ht="15" hidden="false" customHeight="false" outlineLevel="0" collapsed="false">
      <c r="A248" s="17" t="n">
        <v>46174</v>
      </c>
      <c r="B248" s="18" t="s">
        <v>78</v>
      </c>
      <c r="C248" s="2" t="str">
        <f aca="false">VLOOKUP(B248,Targets!$A$2:$D$43,2,FALSE())</f>
        <v>North-East</v>
      </c>
      <c r="D248" s="19" t="n">
        <v>1390</v>
      </c>
      <c r="E248" s="19" t="n">
        <v>1172</v>
      </c>
      <c r="F248" s="20" t="n">
        <f aca="false">E248-D248</f>
        <v>-218</v>
      </c>
      <c r="G248" s="21" t="n">
        <f aca="false">IF(D248=0,0,F248/D248)</f>
        <v>-0.156834532374101</v>
      </c>
      <c r="H248" s="21" t="n">
        <f aca="false">IF(D248=0,0,E248/D248)</f>
        <v>0.843165467625899</v>
      </c>
      <c r="I248" s="21" t="n">
        <f aca="false">VLOOKUP(B248,Targets!$A$2:$D$43,3,FALSE())</f>
        <v>0.92</v>
      </c>
      <c r="J248" s="22" t="n">
        <f aca="false">H248-I248</f>
        <v>-0.0768345323741008</v>
      </c>
      <c r="K248" s="2" t="str">
        <f aca="false">IF(J248&lt;-Targets!$F$2,"Under",IF(J248&gt;Targets!$F$2,"Over","On Track"))</f>
        <v>Under</v>
      </c>
    </row>
    <row r="249" customFormat="false" ht="15" hidden="false" customHeight="false" outlineLevel="0" collapsed="false">
      <c r="A249" s="17" t="n">
        <v>46174</v>
      </c>
      <c r="B249" s="18" t="s">
        <v>79</v>
      </c>
      <c r="C249" s="2" t="str">
        <f aca="false">VLOOKUP(B249,Targets!$A$2:$D$43,2,FALSE())</f>
        <v>North-East</v>
      </c>
      <c r="D249" s="19" t="n">
        <v>1290</v>
      </c>
      <c r="E249" s="19" t="n">
        <v>974</v>
      </c>
      <c r="F249" s="20" t="n">
        <f aca="false">E249-D249</f>
        <v>-316</v>
      </c>
      <c r="G249" s="21" t="n">
        <f aca="false">IF(D249=0,0,F249/D249)</f>
        <v>-0.244961240310078</v>
      </c>
      <c r="H249" s="21" t="n">
        <f aca="false">IF(D249=0,0,E249/D249)</f>
        <v>0.755038759689923</v>
      </c>
      <c r="I249" s="21" t="n">
        <f aca="false">VLOOKUP(B249,Targets!$A$2:$D$43,3,FALSE())</f>
        <v>0.92</v>
      </c>
      <c r="J249" s="22" t="n">
        <f aca="false">H249-I249</f>
        <v>-0.164961240310078</v>
      </c>
      <c r="K249" s="2" t="str">
        <f aca="false">IF(J249&lt;-Targets!$F$2,"Under",IF(J249&gt;Targets!$F$2,"Over","On Track"))</f>
        <v>Under</v>
      </c>
    </row>
    <row r="250" customFormat="false" ht="15" hidden="false" customHeight="false" outlineLevel="0" collapsed="false">
      <c r="A250" s="17" t="n">
        <v>46174</v>
      </c>
      <c r="B250" s="18" t="s">
        <v>80</v>
      </c>
      <c r="C250" s="2" t="str">
        <f aca="false">VLOOKUP(B250,Targets!$A$2:$D$43,2,FALSE())</f>
        <v>North-East</v>
      </c>
      <c r="D250" s="19" t="n">
        <v>2420</v>
      </c>
      <c r="E250" s="19" t="n">
        <v>2102</v>
      </c>
      <c r="F250" s="20" t="n">
        <f aca="false">E250-D250</f>
        <v>-318</v>
      </c>
      <c r="G250" s="21" t="n">
        <f aca="false">IF(D250=0,0,F250/D250)</f>
        <v>-0.131404958677686</v>
      </c>
      <c r="H250" s="21" t="n">
        <f aca="false">IF(D250=0,0,E250/D250)</f>
        <v>0.868595041322314</v>
      </c>
      <c r="I250" s="21" t="n">
        <f aca="false">VLOOKUP(B250,Targets!$A$2:$D$43,3,FALSE())</f>
        <v>0.88</v>
      </c>
      <c r="J250" s="22" t="n">
        <f aca="false">H250-I250</f>
        <v>-0.011404958677686</v>
      </c>
      <c r="K250" s="2" t="str">
        <f aca="false">IF(J250&lt;-Targets!$F$2,"Under",IF(J250&gt;Targets!$F$2,"Over","On Track"))</f>
        <v>On Track</v>
      </c>
    </row>
    <row r="251" customFormat="false" ht="15" hidden="false" customHeight="false" outlineLevel="0" collapsed="false">
      <c r="A251" s="17" t="n">
        <v>46174</v>
      </c>
      <c r="B251" s="18" t="s">
        <v>81</v>
      </c>
      <c r="C251" s="2" t="str">
        <f aca="false">VLOOKUP(B251,Targets!$A$2:$D$43,2,FALSE())</f>
        <v>North-East</v>
      </c>
      <c r="D251" s="19" t="n">
        <v>1540</v>
      </c>
      <c r="E251" s="19" t="n">
        <v>1138</v>
      </c>
      <c r="F251" s="20" t="n">
        <f aca="false">E251-D251</f>
        <v>-402</v>
      </c>
      <c r="G251" s="21" t="n">
        <f aca="false">IF(D251=0,0,F251/D251)</f>
        <v>-0.261038961038961</v>
      </c>
      <c r="H251" s="21" t="n">
        <f aca="false">IF(D251=0,0,E251/D251)</f>
        <v>0.738961038961039</v>
      </c>
      <c r="I251" s="21" t="n">
        <f aca="false">VLOOKUP(B251,Targets!$A$2:$D$43,3,FALSE())</f>
        <v>0.88</v>
      </c>
      <c r="J251" s="22" t="n">
        <f aca="false">H251-I251</f>
        <v>-0.141038961038961</v>
      </c>
      <c r="K251" s="2" t="str">
        <f aca="false">IF(J251&lt;-Targets!$F$2,"Under",IF(J251&gt;Targets!$F$2,"Over","On Track"))</f>
        <v>Under</v>
      </c>
    </row>
    <row r="252" customFormat="false" ht="15" hidden="false" customHeight="false" outlineLevel="0" collapsed="false">
      <c r="A252" s="17" t="n">
        <v>46174</v>
      </c>
      <c r="B252" s="18" t="s">
        <v>82</v>
      </c>
      <c r="C252" s="2" t="str">
        <f aca="false">VLOOKUP(B252,Targets!$A$2:$D$43,2,FALSE())</f>
        <v>North-East</v>
      </c>
      <c r="D252" s="19" t="n">
        <v>930</v>
      </c>
      <c r="E252" s="19" t="n">
        <v>789</v>
      </c>
      <c r="F252" s="20" t="n">
        <f aca="false">E252-D252</f>
        <v>-141</v>
      </c>
      <c r="G252" s="21" t="n">
        <f aca="false">IF(D252=0,0,F252/D252)</f>
        <v>-0.151612903225806</v>
      </c>
      <c r="H252" s="21" t="n">
        <f aca="false">IF(D252=0,0,E252/D252)</f>
        <v>0.848387096774194</v>
      </c>
      <c r="I252" s="21" t="n">
        <f aca="false">VLOOKUP(B252,Targets!$A$2:$D$43,3,FALSE())</f>
        <v>0.85</v>
      </c>
      <c r="J252" s="22" t="n">
        <f aca="false">H252-I252</f>
        <v>-0.00161290322580643</v>
      </c>
      <c r="K252" s="2" t="str">
        <f aca="false">IF(J252&lt;-Targets!$F$2,"Under",IF(J252&gt;Targets!$F$2,"Over","On Track"))</f>
        <v>On Track</v>
      </c>
    </row>
    <row r="253" customFormat="false" ht="15" hidden="false" customHeight="false" outlineLevel="0" collapsed="false">
      <c r="A253" s="17" t="n">
        <v>46174</v>
      </c>
      <c r="B253" s="18" t="s">
        <v>83</v>
      </c>
      <c r="C253" s="2" t="str">
        <f aca="false">VLOOKUP(B253,Targets!$A$2:$D$43,2,FALSE())</f>
        <v>North-East</v>
      </c>
      <c r="D253" s="19" t="n">
        <v>1340</v>
      </c>
      <c r="E253" s="19" t="n">
        <v>1046</v>
      </c>
      <c r="F253" s="20" t="n">
        <f aca="false">E253-D253</f>
        <v>-294</v>
      </c>
      <c r="G253" s="21" t="n">
        <f aca="false">IF(D253=0,0,F253/D253)</f>
        <v>-0.219402985074627</v>
      </c>
      <c r="H253" s="21" t="n">
        <f aca="false">IF(D253=0,0,E253/D253)</f>
        <v>0.780597014925373</v>
      </c>
      <c r="I253" s="21" t="n">
        <f aca="false">VLOOKUP(B253,Targets!$A$2:$D$43,3,FALSE())</f>
        <v>0.88</v>
      </c>
      <c r="J253" s="22" t="n">
        <f aca="false">H253-I253</f>
        <v>-0.0994029850746269</v>
      </c>
      <c r="K253" s="2" t="str">
        <f aca="false">IF(J253&lt;-Targets!$F$2,"Under",IF(J253&gt;Targets!$F$2,"Over","On Track"))</f>
        <v>Under</v>
      </c>
    </row>
    <row r="254" customFormat="false" ht="15" hidden="false" customHeight="false" outlineLevel="0" collapsed="false">
      <c r="A254" s="17" t="n">
        <v>46204</v>
      </c>
      <c r="B254" s="18" t="s">
        <v>41</v>
      </c>
      <c r="C254" s="2" t="str">
        <f aca="false">VLOOKUP(B254,Targets!$A$2:$D$43,2,FALSE())</f>
        <v>North</v>
      </c>
      <c r="D254" s="19" t="n">
        <v>2650</v>
      </c>
      <c r="E254" s="19" t="n">
        <v>2238</v>
      </c>
      <c r="F254" s="20" t="n">
        <f aca="false">E254-D254</f>
        <v>-412</v>
      </c>
      <c r="G254" s="21" t="n">
        <f aca="false">IF(D254=0,0,F254/D254)</f>
        <v>-0.155471698113208</v>
      </c>
      <c r="H254" s="21" t="n">
        <f aca="false">IF(D254=0,0,E254/D254)</f>
        <v>0.844528301886792</v>
      </c>
      <c r="I254" s="21" t="n">
        <f aca="false">VLOOKUP(B254,Targets!$A$2:$D$43,3,FALSE())</f>
        <v>0.88</v>
      </c>
      <c r="J254" s="22" t="n">
        <f aca="false">H254-I254</f>
        <v>-0.0354716981132076</v>
      </c>
      <c r="K254" s="2" t="str">
        <f aca="false">IF(J254&lt;-Targets!$F$2,"Under",IF(J254&gt;Targets!$F$2,"Over","On Track"))</f>
        <v>On Track</v>
      </c>
    </row>
    <row r="255" customFormat="false" ht="15" hidden="false" customHeight="false" outlineLevel="0" collapsed="false">
      <c r="A255" s="17" t="n">
        <v>46204</v>
      </c>
      <c r="B255" s="18" t="s">
        <v>42</v>
      </c>
      <c r="C255" s="2" t="str">
        <f aca="false">VLOOKUP(B255,Targets!$A$2:$D$43,2,FALSE())</f>
        <v>North</v>
      </c>
      <c r="D255" s="19" t="n">
        <v>2250</v>
      </c>
      <c r="E255" s="19" t="n">
        <v>1983</v>
      </c>
      <c r="F255" s="20" t="n">
        <f aca="false">E255-D255</f>
        <v>-267</v>
      </c>
      <c r="G255" s="21" t="n">
        <f aca="false">IF(D255=0,0,F255/D255)</f>
        <v>-0.118666666666667</v>
      </c>
      <c r="H255" s="21" t="n">
        <f aca="false">IF(D255=0,0,E255/D255)</f>
        <v>0.881333333333333</v>
      </c>
      <c r="I255" s="21" t="n">
        <f aca="false">VLOOKUP(B255,Targets!$A$2:$D$43,3,FALSE())</f>
        <v>0.88</v>
      </c>
      <c r="J255" s="22" t="n">
        <f aca="false">H255-I255</f>
        <v>0.0013333333333333</v>
      </c>
      <c r="K255" s="2" t="str">
        <f aca="false">IF(J255&lt;-Targets!$F$2,"Under",IF(J255&gt;Targets!$F$2,"Over","On Track"))</f>
        <v>On Track</v>
      </c>
    </row>
    <row r="256" customFormat="false" ht="15" hidden="false" customHeight="false" outlineLevel="0" collapsed="false">
      <c r="A256" s="17" t="n">
        <v>46204</v>
      </c>
      <c r="B256" s="18" t="s">
        <v>44</v>
      </c>
      <c r="C256" s="2" t="str">
        <f aca="false">VLOOKUP(B256,Targets!$A$2:$D$43,2,FALSE())</f>
        <v>North</v>
      </c>
      <c r="D256" s="19" t="n">
        <v>2500</v>
      </c>
      <c r="E256" s="19" t="n">
        <v>2197</v>
      </c>
      <c r="F256" s="20" t="n">
        <f aca="false">E256-D256</f>
        <v>-303</v>
      </c>
      <c r="G256" s="21" t="n">
        <f aca="false">IF(D256=0,0,F256/D256)</f>
        <v>-0.1212</v>
      </c>
      <c r="H256" s="21" t="n">
        <f aca="false">IF(D256=0,0,E256/D256)</f>
        <v>0.8788</v>
      </c>
      <c r="I256" s="21" t="n">
        <f aca="false">VLOOKUP(B256,Targets!$A$2:$D$43,3,FALSE())</f>
        <v>0.88</v>
      </c>
      <c r="J256" s="22" t="n">
        <f aca="false">H256-I256</f>
        <v>-0.00119999999999998</v>
      </c>
      <c r="K256" s="2" t="str">
        <f aca="false">IF(J256&lt;-Targets!$F$2,"Under",IF(J256&gt;Targets!$F$2,"Over","On Track"))</f>
        <v>On Track</v>
      </c>
    </row>
    <row r="257" customFormat="false" ht="15" hidden="false" customHeight="false" outlineLevel="0" collapsed="false">
      <c r="A257" s="17" t="n">
        <v>46204</v>
      </c>
      <c r="B257" s="18" t="s">
        <v>45</v>
      </c>
      <c r="C257" s="2" t="str">
        <f aca="false">VLOOKUP(B257,Targets!$A$2:$D$43,2,FALSE())</f>
        <v>North</v>
      </c>
      <c r="D257" s="19" t="n">
        <v>1100</v>
      </c>
      <c r="E257" s="19" t="n">
        <v>1001</v>
      </c>
      <c r="F257" s="20" t="n">
        <f aca="false">E257-D257</f>
        <v>-99</v>
      </c>
      <c r="G257" s="21" t="n">
        <f aca="false">IF(D257=0,0,F257/D257)</f>
        <v>-0.09</v>
      </c>
      <c r="H257" s="21" t="n">
        <f aca="false">IF(D257=0,0,E257/D257)</f>
        <v>0.91</v>
      </c>
      <c r="I257" s="21" t="n">
        <f aca="false">VLOOKUP(B257,Targets!$A$2:$D$43,3,FALSE())</f>
        <v>0.88</v>
      </c>
      <c r="J257" s="22" t="n">
        <f aca="false">H257-I257</f>
        <v>0.03</v>
      </c>
      <c r="K257" s="2" t="str">
        <f aca="false">IF(J257&lt;-Targets!$F$2,"Under",IF(J257&gt;Targets!$F$2,"Over","On Track"))</f>
        <v>On Track</v>
      </c>
    </row>
    <row r="258" customFormat="false" ht="15" hidden="false" customHeight="false" outlineLevel="0" collapsed="false">
      <c r="A258" s="17" t="n">
        <v>46204</v>
      </c>
      <c r="B258" s="18" t="s">
        <v>46</v>
      </c>
      <c r="C258" s="2" t="str">
        <f aca="false">VLOOKUP(B258,Targets!$A$2:$D$43,2,FALSE())</f>
        <v>North</v>
      </c>
      <c r="D258" s="19" t="n">
        <v>2350</v>
      </c>
      <c r="E258" s="19" t="n">
        <v>2127</v>
      </c>
      <c r="F258" s="20" t="n">
        <f aca="false">E258-D258</f>
        <v>-223</v>
      </c>
      <c r="G258" s="21" t="n">
        <f aca="false">IF(D258=0,0,F258/D258)</f>
        <v>-0.0948936170212766</v>
      </c>
      <c r="H258" s="21" t="n">
        <f aca="false">IF(D258=0,0,E258/D258)</f>
        <v>0.905106382978723</v>
      </c>
      <c r="I258" s="21" t="n">
        <f aca="false">VLOOKUP(B258,Targets!$A$2:$D$43,3,FALSE())</f>
        <v>0.88</v>
      </c>
      <c r="J258" s="22" t="n">
        <f aca="false">H258-I258</f>
        <v>0.0251063829787234</v>
      </c>
      <c r="K258" s="2" t="str">
        <f aca="false">IF(J258&lt;-Targets!$F$2,"Under",IF(J258&gt;Targets!$F$2,"Over","On Track"))</f>
        <v>On Track</v>
      </c>
    </row>
    <row r="259" customFormat="false" ht="15" hidden="false" customHeight="false" outlineLevel="0" collapsed="false">
      <c r="A259" s="17" t="n">
        <v>46204</v>
      </c>
      <c r="B259" s="18" t="s">
        <v>47</v>
      </c>
      <c r="C259" s="2" t="str">
        <f aca="false">VLOOKUP(B259,Targets!$A$2:$D$43,2,FALSE())</f>
        <v>North</v>
      </c>
      <c r="D259" s="19" t="n">
        <v>3150</v>
      </c>
      <c r="E259" s="19" t="n">
        <v>2812</v>
      </c>
      <c r="F259" s="20" t="n">
        <f aca="false">E259-D259</f>
        <v>-338</v>
      </c>
      <c r="G259" s="21" t="n">
        <f aca="false">IF(D259=0,0,F259/D259)</f>
        <v>-0.107301587301587</v>
      </c>
      <c r="H259" s="21" t="n">
        <f aca="false">IF(D259=0,0,E259/D259)</f>
        <v>0.892698412698413</v>
      </c>
      <c r="I259" s="21" t="n">
        <f aca="false">VLOOKUP(B259,Targets!$A$2:$D$43,3,FALSE())</f>
        <v>0.9</v>
      </c>
      <c r="J259" s="22" t="n">
        <f aca="false">H259-I259</f>
        <v>-0.00730158730158736</v>
      </c>
      <c r="K259" s="2" t="str">
        <f aca="false">IF(J259&lt;-Targets!$F$2,"Under",IF(J259&gt;Targets!$F$2,"Over","On Track"))</f>
        <v>On Track</v>
      </c>
    </row>
    <row r="260" customFormat="false" ht="15" hidden="false" customHeight="false" outlineLevel="0" collapsed="false">
      <c r="A260" s="17" t="n">
        <v>46204</v>
      </c>
      <c r="B260" s="18" t="s">
        <v>48</v>
      </c>
      <c r="C260" s="2" t="str">
        <f aca="false">VLOOKUP(B260,Targets!$A$2:$D$43,2,FALSE())</f>
        <v>North</v>
      </c>
      <c r="D260" s="19" t="n">
        <v>1850</v>
      </c>
      <c r="E260" s="19" t="n">
        <v>1695</v>
      </c>
      <c r="F260" s="20" t="n">
        <f aca="false">E260-D260</f>
        <v>-155</v>
      </c>
      <c r="G260" s="21" t="n">
        <f aca="false">IF(D260=0,0,F260/D260)</f>
        <v>-0.0837837837837838</v>
      </c>
      <c r="H260" s="21" t="n">
        <f aca="false">IF(D260=0,0,E260/D260)</f>
        <v>0.916216216216216</v>
      </c>
      <c r="I260" s="21" t="n">
        <f aca="false">VLOOKUP(B260,Targets!$A$2:$D$43,3,FALSE())</f>
        <v>0.85</v>
      </c>
      <c r="J260" s="22" t="n">
        <f aca="false">H260-I260</f>
        <v>0.0662162162162162</v>
      </c>
      <c r="K260" s="2" t="str">
        <f aca="false">IF(J260&lt;-Targets!$F$2,"Under",IF(J260&gt;Targets!$F$2,"Over","On Track"))</f>
        <v>Over</v>
      </c>
    </row>
    <row r="261" customFormat="false" ht="15" hidden="false" customHeight="false" outlineLevel="0" collapsed="false">
      <c r="A261" s="17" t="n">
        <v>46204</v>
      </c>
      <c r="B261" s="18" t="s">
        <v>49</v>
      </c>
      <c r="C261" s="2" t="str">
        <f aca="false">VLOOKUP(B261,Targets!$A$2:$D$43,2,FALSE())</f>
        <v>South</v>
      </c>
      <c r="D261" s="19" t="n">
        <v>1150</v>
      </c>
      <c r="E261" s="19" t="n">
        <v>996</v>
      </c>
      <c r="F261" s="20" t="n">
        <f aca="false">E261-D261</f>
        <v>-154</v>
      </c>
      <c r="G261" s="21" t="n">
        <f aca="false">IF(D261=0,0,F261/D261)</f>
        <v>-0.133913043478261</v>
      </c>
      <c r="H261" s="21" t="n">
        <f aca="false">IF(D261=0,0,E261/D261)</f>
        <v>0.866086956521739</v>
      </c>
      <c r="I261" s="21" t="n">
        <f aca="false">VLOOKUP(B261,Targets!$A$2:$D$43,3,FALSE())</f>
        <v>0.92</v>
      </c>
      <c r="J261" s="22" t="n">
        <f aca="false">H261-I261</f>
        <v>-0.0539130434782609</v>
      </c>
      <c r="K261" s="2" t="str">
        <f aca="false">IF(J261&lt;-Targets!$F$2,"Under",IF(J261&gt;Targets!$F$2,"Over","On Track"))</f>
        <v>Under</v>
      </c>
    </row>
    <row r="262" customFormat="false" ht="15" hidden="false" customHeight="false" outlineLevel="0" collapsed="false">
      <c r="A262" s="17" t="n">
        <v>46204</v>
      </c>
      <c r="B262" s="18" t="s">
        <v>50</v>
      </c>
      <c r="C262" s="2" t="str">
        <f aca="false">VLOOKUP(B262,Targets!$A$2:$D$43,2,FALSE())</f>
        <v>South</v>
      </c>
      <c r="D262" s="19" t="n">
        <v>3100</v>
      </c>
      <c r="E262" s="19" t="n">
        <v>2553</v>
      </c>
      <c r="F262" s="20" t="n">
        <f aca="false">E262-D262</f>
        <v>-547</v>
      </c>
      <c r="G262" s="21" t="n">
        <f aca="false">IF(D262=0,0,F262/D262)</f>
        <v>-0.176451612903226</v>
      </c>
      <c r="H262" s="21" t="n">
        <f aca="false">IF(D262=0,0,E262/D262)</f>
        <v>0.823548387096774</v>
      </c>
      <c r="I262" s="21" t="n">
        <f aca="false">VLOOKUP(B262,Targets!$A$2:$D$43,3,FALSE())</f>
        <v>0.9</v>
      </c>
      <c r="J262" s="22" t="n">
        <f aca="false">H262-I262</f>
        <v>-0.0764516129032258</v>
      </c>
      <c r="K262" s="2" t="str">
        <f aca="false">IF(J262&lt;-Targets!$F$2,"Under",IF(J262&gt;Targets!$F$2,"Over","On Track"))</f>
        <v>Under</v>
      </c>
    </row>
    <row r="263" customFormat="false" ht="15" hidden="false" customHeight="false" outlineLevel="0" collapsed="false">
      <c r="A263" s="17" t="n">
        <v>46204</v>
      </c>
      <c r="B263" s="18" t="s">
        <v>51</v>
      </c>
      <c r="C263" s="2" t="str">
        <f aca="false">VLOOKUP(B263,Targets!$A$2:$D$43,2,FALSE())</f>
        <v>South</v>
      </c>
      <c r="D263" s="19" t="n">
        <v>2450</v>
      </c>
      <c r="E263" s="19" t="n">
        <v>2050</v>
      </c>
      <c r="F263" s="20" t="n">
        <f aca="false">E263-D263</f>
        <v>-400</v>
      </c>
      <c r="G263" s="21" t="n">
        <f aca="false">IF(D263=0,0,F263/D263)</f>
        <v>-0.163265306122449</v>
      </c>
      <c r="H263" s="21" t="n">
        <f aca="false">IF(D263=0,0,E263/D263)</f>
        <v>0.836734693877551</v>
      </c>
      <c r="I263" s="21" t="n">
        <f aca="false">VLOOKUP(B263,Targets!$A$2:$D$43,3,FALSE())</f>
        <v>0.92</v>
      </c>
      <c r="J263" s="22" t="n">
        <f aca="false">H263-I263</f>
        <v>-0.083265306122449</v>
      </c>
      <c r="K263" s="2" t="str">
        <f aca="false">IF(J263&lt;-Targets!$F$2,"Under",IF(J263&gt;Targets!$F$2,"Over","On Track"))</f>
        <v>Under</v>
      </c>
    </row>
    <row r="264" customFormat="false" ht="15" hidden="false" customHeight="false" outlineLevel="0" collapsed="false">
      <c r="A264" s="17" t="n">
        <v>46204</v>
      </c>
      <c r="B264" s="18" t="s">
        <v>52</v>
      </c>
      <c r="C264" s="2" t="str">
        <f aca="false">VLOOKUP(B264,Targets!$A$2:$D$43,2,FALSE())</f>
        <v>South</v>
      </c>
      <c r="D264" s="19" t="n">
        <v>1350</v>
      </c>
      <c r="E264" s="19" t="n">
        <v>1114</v>
      </c>
      <c r="F264" s="20" t="n">
        <f aca="false">E264-D264</f>
        <v>-236</v>
      </c>
      <c r="G264" s="21" t="n">
        <f aca="false">IF(D264=0,0,F264/D264)</f>
        <v>-0.174814814814815</v>
      </c>
      <c r="H264" s="21" t="n">
        <f aca="false">IF(D264=0,0,E264/D264)</f>
        <v>0.825185185185185</v>
      </c>
      <c r="I264" s="21" t="n">
        <f aca="false">VLOOKUP(B264,Targets!$A$2:$D$43,3,FALSE())</f>
        <v>0.92</v>
      </c>
      <c r="J264" s="22" t="n">
        <f aca="false">H264-I264</f>
        <v>-0.0948148148148149</v>
      </c>
      <c r="K264" s="2" t="str">
        <f aca="false">IF(J264&lt;-Targets!$F$2,"Under",IF(J264&gt;Targets!$F$2,"Over","On Track"))</f>
        <v>Under</v>
      </c>
    </row>
    <row r="265" customFormat="false" ht="15" hidden="false" customHeight="false" outlineLevel="0" collapsed="false">
      <c r="A265" s="17" t="n">
        <v>46204</v>
      </c>
      <c r="B265" s="18" t="s">
        <v>53</v>
      </c>
      <c r="C265" s="2" t="str">
        <f aca="false">VLOOKUP(B265,Targets!$A$2:$D$43,2,FALSE())</f>
        <v>South</v>
      </c>
      <c r="D265" s="19" t="n">
        <v>2400</v>
      </c>
      <c r="E265" s="19" t="n">
        <v>1983</v>
      </c>
      <c r="F265" s="20" t="n">
        <f aca="false">E265-D265</f>
        <v>-417</v>
      </c>
      <c r="G265" s="21" t="n">
        <f aca="false">IF(D265=0,0,F265/D265)</f>
        <v>-0.17375</v>
      </c>
      <c r="H265" s="21" t="n">
        <f aca="false">IF(D265=0,0,E265/D265)</f>
        <v>0.82625</v>
      </c>
      <c r="I265" s="21" t="n">
        <f aca="false">VLOOKUP(B265,Targets!$A$2:$D$43,3,FALSE())</f>
        <v>0.92</v>
      </c>
      <c r="J265" s="22" t="n">
        <f aca="false">H265-I265</f>
        <v>-0.09375</v>
      </c>
      <c r="K265" s="2" t="str">
        <f aca="false">IF(J265&lt;-Targets!$F$2,"Under",IF(J265&gt;Targets!$F$2,"Over","On Track"))</f>
        <v>Under</v>
      </c>
    </row>
    <row r="266" customFormat="false" ht="15" hidden="false" customHeight="false" outlineLevel="0" collapsed="false">
      <c r="A266" s="17" t="n">
        <v>46204</v>
      </c>
      <c r="B266" s="18" t="s">
        <v>54</v>
      </c>
      <c r="C266" s="2" t="str">
        <f aca="false">VLOOKUP(B266,Targets!$A$2:$D$43,2,FALSE())</f>
        <v>South</v>
      </c>
      <c r="D266" s="19" t="n">
        <v>3150</v>
      </c>
      <c r="E266" s="19" t="n">
        <v>2656</v>
      </c>
      <c r="F266" s="20" t="n">
        <f aca="false">E266-D266</f>
        <v>-494</v>
      </c>
      <c r="G266" s="21" t="n">
        <f aca="false">IF(D266=0,0,F266/D266)</f>
        <v>-0.156825396825397</v>
      </c>
      <c r="H266" s="21" t="n">
        <f aca="false">IF(D266=0,0,E266/D266)</f>
        <v>0.843174603174603</v>
      </c>
      <c r="I266" s="21" t="n">
        <f aca="false">VLOOKUP(B266,Targets!$A$2:$D$43,3,FALSE())</f>
        <v>0.9</v>
      </c>
      <c r="J266" s="22" t="n">
        <f aca="false">H266-I266</f>
        <v>-0.0568253968253969</v>
      </c>
      <c r="K266" s="2" t="str">
        <f aca="false">IF(J266&lt;-Targets!$F$2,"Under",IF(J266&gt;Targets!$F$2,"Over","On Track"))</f>
        <v>Under</v>
      </c>
    </row>
    <row r="267" customFormat="false" ht="15" hidden="false" customHeight="false" outlineLevel="0" collapsed="false">
      <c r="A267" s="17" t="n">
        <v>46204</v>
      </c>
      <c r="B267" s="18" t="s">
        <v>55</v>
      </c>
      <c r="C267" s="2" t="str">
        <f aca="false">VLOOKUP(B267,Targets!$A$2:$D$43,2,FALSE())</f>
        <v>South</v>
      </c>
      <c r="D267" s="19" t="n">
        <v>1350</v>
      </c>
      <c r="E267" s="19" t="n">
        <v>1153</v>
      </c>
      <c r="F267" s="20" t="n">
        <f aca="false">E267-D267</f>
        <v>-197</v>
      </c>
      <c r="G267" s="21" t="n">
        <f aca="false">IF(D267=0,0,F267/D267)</f>
        <v>-0.145925925925926</v>
      </c>
      <c r="H267" s="21" t="n">
        <f aca="false">IF(D267=0,0,E267/D267)</f>
        <v>0.854074074074074</v>
      </c>
      <c r="I267" s="21" t="n">
        <f aca="false">VLOOKUP(B267,Targets!$A$2:$D$43,3,FALSE())</f>
        <v>0.92</v>
      </c>
      <c r="J267" s="22" t="n">
        <f aca="false">H267-I267</f>
        <v>-0.0659259259259259</v>
      </c>
      <c r="K267" s="2" t="str">
        <f aca="false">IF(J267&lt;-Targets!$F$2,"Under",IF(J267&gt;Targets!$F$2,"Over","On Track"))</f>
        <v>Under</v>
      </c>
    </row>
    <row r="268" customFormat="false" ht="15" hidden="false" customHeight="false" outlineLevel="0" collapsed="false">
      <c r="A268" s="17" t="n">
        <v>46204</v>
      </c>
      <c r="B268" s="18" t="s">
        <v>56</v>
      </c>
      <c r="C268" s="2" t="str">
        <f aca="false">VLOOKUP(B268,Targets!$A$2:$D$43,2,FALSE())</f>
        <v>East</v>
      </c>
      <c r="D268" s="19" t="n">
        <v>2850</v>
      </c>
      <c r="E268" s="19" t="n">
        <v>2571</v>
      </c>
      <c r="F268" s="20" t="n">
        <f aca="false">E268-D268</f>
        <v>-279</v>
      </c>
      <c r="G268" s="21" t="n">
        <f aca="false">IF(D268=0,0,F268/D268)</f>
        <v>-0.0978947368421053</v>
      </c>
      <c r="H268" s="21" t="n">
        <f aca="false">IF(D268=0,0,E268/D268)</f>
        <v>0.902105263157895</v>
      </c>
      <c r="I268" s="21" t="n">
        <f aca="false">VLOOKUP(B268,Targets!$A$2:$D$43,3,FALSE())</f>
        <v>0.92</v>
      </c>
      <c r="J268" s="22" t="n">
        <f aca="false">H268-I268</f>
        <v>-0.0178947368421053</v>
      </c>
      <c r="K268" s="2" t="str">
        <f aca="false">IF(J268&lt;-Targets!$F$2,"Under",IF(J268&gt;Targets!$F$2,"Over","On Track"))</f>
        <v>On Track</v>
      </c>
    </row>
    <row r="269" customFormat="false" ht="15" hidden="false" customHeight="false" outlineLevel="0" collapsed="false">
      <c r="A269" s="17" t="n">
        <v>46204</v>
      </c>
      <c r="B269" s="18" t="s">
        <v>57</v>
      </c>
      <c r="C269" s="2" t="str">
        <f aca="false">VLOOKUP(B269,Targets!$A$2:$D$43,2,FALSE())</f>
        <v>East</v>
      </c>
      <c r="D269" s="19" t="n">
        <v>2500</v>
      </c>
      <c r="E269" s="19" t="n">
        <v>2277</v>
      </c>
      <c r="F269" s="20" t="n">
        <f aca="false">E269-D269</f>
        <v>-223</v>
      </c>
      <c r="G269" s="21" t="n">
        <f aca="false">IF(D269=0,0,F269/D269)</f>
        <v>-0.0892</v>
      </c>
      <c r="H269" s="21" t="n">
        <f aca="false">IF(D269=0,0,E269/D269)</f>
        <v>0.9108</v>
      </c>
      <c r="I269" s="21" t="n">
        <f aca="false">VLOOKUP(B269,Targets!$A$2:$D$43,3,FALSE())</f>
        <v>0.88</v>
      </c>
      <c r="J269" s="22" t="n">
        <f aca="false">H269-I269</f>
        <v>0.0308000000000001</v>
      </c>
      <c r="K269" s="2" t="str">
        <f aca="false">IF(J269&lt;-Targets!$F$2,"Under",IF(J269&gt;Targets!$F$2,"Over","On Track"))</f>
        <v>On Track</v>
      </c>
    </row>
    <row r="270" customFormat="false" ht="15" hidden="false" customHeight="false" outlineLevel="0" collapsed="false">
      <c r="A270" s="17" t="n">
        <v>46204</v>
      </c>
      <c r="B270" s="18" t="s">
        <v>58</v>
      </c>
      <c r="C270" s="2" t="str">
        <f aca="false">VLOOKUP(B270,Targets!$A$2:$D$43,2,FALSE())</f>
        <v>East</v>
      </c>
      <c r="D270" s="19" t="n">
        <v>1400</v>
      </c>
      <c r="E270" s="19" t="n">
        <v>1242</v>
      </c>
      <c r="F270" s="20" t="n">
        <f aca="false">E270-D270</f>
        <v>-158</v>
      </c>
      <c r="G270" s="21" t="n">
        <f aca="false">IF(D270=0,0,F270/D270)</f>
        <v>-0.112857142857143</v>
      </c>
      <c r="H270" s="21" t="n">
        <f aca="false">IF(D270=0,0,E270/D270)</f>
        <v>0.887142857142857</v>
      </c>
      <c r="I270" s="21" t="n">
        <f aca="false">VLOOKUP(B270,Targets!$A$2:$D$43,3,FALSE())</f>
        <v>0.92</v>
      </c>
      <c r="J270" s="22" t="n">
        <f aca="false">H270-I270</f>
        <v>-0.0328571428571429</v>
      </c>
      <c r="K270" s="2" t="str">
        <f aca="false">IF(J270&lt;-Targets!$F$2,"Under",IF(J270&gt;Targets!$F$2,"Over","On Track"))</f>
        <v>On Track</v>
      </c>
    </row>
    <row r="271" customFormat="false" ht="15" hidden="false" customHeight="false" outlineLevel="0" collapsed="false">
      <c r="A271" s="17" t="n">
        <v>46204</v>
      </c>
      <c r="B271" s="18" t="s">
        <v>59</v>
      </c>
      <c r="C271" s="2" t="str">
        <f aca="false">VLOOKUP(B271,Targets!$A$2:$D$43,2,FALSE())</f>
        <v>East</v>
      </c>
      <c r="D271" s="19" t="n">
        <v>1300</v>
      </c>
      <c r="E271" s="19" t="n">
        <v>1146</v>
      </c>
      <c r="F271" s="20" t="n">
        <f aca="false">E271-D271</f>
        <v>-154</v>
      </c>
      <c r="G271" s="21" t="n">
        <f aca="false">IF(D271=0,0,F271/D271)</f>
        <v>-0.118461538461538</v>
      </c>
      <c r="H271" s="21" t="n">
        <f aca="false">IF(D271=0,0,E271/D271)</f>
        <v>0.881538461538462</v>
      </c>
      <c r="I271" s="21" t="n">
        <f aca="false">VLOOKUP(B271,Targets!$A$2:$D$43,3,FALSE())</f>
        <v>0.88</v>
      </c>
      <c r="J271" s="22" t="n">
        <f aca="false">H271-I271</f>
        <v>0.00153846153846149</v>
      </c>
      <c r="K271" s="2" t="str">
        <f aca="false">IF(J271&lt;-Targets!$F$2,"Under",IF(J271&gt;Targets!$F$2,"Over","On Track"))</f>
        <v>On Track</v>
      </c>
    </row>
    <row r="272" customFormat="false" ht="15" hidden="false" customHeight="false" outlineLevel="0" collapsed="false">
      <c r="A272" s="17" t="n">
        <v>46204</v>
      </c>
      <c r="B272" s="18" t="s">
        <v>60</v>
      </c>
      <c r="C272" s="2" t="str">
        <f aca="false">VLOOKUP(B272,Targets!$A$2:$D$43,2,FALSE())</f>
        <v>East</v>
      </c>
      <c r="D272" s="19" t="n">
        <v>3050</v>
      </c>
      <c r="E272" s="19" t="n">
        <v>2754</v>
      </c>
      <c r="F272" s="20" t="n">
        <f aca="false">E272-D272</f>
        <v>-296</v>
      </c>
      <c r="G272" s="21" t="n">
        <f aca="false">IF(D272=0,0,F272/D272)</f>
        <v>-0.0970491803278689</v>
      </c>
      <c r="H272" s="21" t="n">
        <f aca="false">IF(D272=0,0,E272/D272)</f>
        <v>0.902950819672131</v>
      </c>
      <c r="I272" s="21" t="n">
        <f aca="false">VLOOKUP(B272,Targets!$A$2:$D$43,3,FALSE())</f>
        <v>0.88</v>
      </c>
      <c r="J272" s="22" t="n">
        <f aca="false">H272-I272</f>
        <v>0.0229508196721312</v>
      </c>
      <c r="K272" s="2" t="str">
        <f aca="false">IF(J272&lt;-Targets!$F$2,"Under",IF(J272&gt;Targets!$F$2,"Over","On Track"))</f>
        <v>On Track</v>
      </c>
    </row>
    <row r="273" customFormat="false" ht="15" hidden="false" customHeight="false" outlineLevel="0" collapsed="false">
      <c r="A273" s="17" t="n">
        <v>46204</v>
      </c>
      <c r="B273" s="18" t="s">
        <v>61</v>
      </c>
      <c r="C273" s="2" t="str">
        <f aca="false">VLOOKUP(B273,Targets!$A$2:$D$43,2,FALSE())</f>
        <v>East</v>
      </c>
      <c r="D273" s="19" t="n">
        <v>1650</v>
      </c>
      <c r="E273" s="19" t="n">
        <v>1327</v>
      </c>
      <c r="F273" s="20" t="n">
        <f aca="false">E273-D273</f>
        <v>-323</v>
      </c>
      <c r="G273" s="21" t="n">
        <f aca="false">IF(D273=0,0,F273/D273)</f>
        <v>-0.195757575757576</v>
      </c>
      <c r="H273" s="21" t="n">
        <f aca="false">IF(D273=0,0,E273/D273)</f>
        <v>0.804242424242424</v>
      </c>
      <c r="I273" s="21" t="n">
        <f aca="false">VLOOKUP(B273,Targets!$A$2:$D$43,3,FALSE())</f>
        <v>0.88</v>
      </c>
      <c r="J273" s="22" t="n">
        <f aca="false">H273-I273</f>
        <v>-0.0757575757575758</v>
      </c>
      <c r="K273" s="2" t="str">
        <f aca="false">IF(J273&lt;-Targets!$F$2,"Under",IF(J273&gt;Targets!$F$2,"Over","On Track"))</f>
        <v>Under</v>
      </c>
    </row>
    <row r="274" customFormat="false" ht="15" hidden="false" customHeight="false" outlineLevel="0" collapsed="false">
      <c r="A274" s="17" t="n">
        <v>46204</v>
      </c>
      <c r="B274" s="18" t="s">
        <v>62</v>
      </c>
      <c r="C274" s="2" t="str">
        <f aca="false">VLOOKUP(B274,Targets!$A$2:$D$43,2,FALSE())</f>
        <v>East</v>
      </c>
      <c r="D274" s="19" t="n">
        <v>1900</v>
      </c>
      <c r="E274" s="19" t="n">
        <v>1685</v>
      </c>
      <c r="F274" s="20" t="n">
        <f aca="false">E274-D274</f>
        <v>-215</v>
      </c>
      <c r="G274" s="21" t="n">
        <f aca="false">IF(D274=0,0,F274/D274)</f>
        <v>-0.113157894736842</v>
      </c>
      <c r="H274" s="21" t="n">
        <f aca="false">IF(D274=0,0,E274/D274)</f>
        <v>0.886842105263158</v>
      </c>
      <c r="I274" s="21" t="n">
        <f aca="false">VLOOKUP(B274,Targets!$A$2:$D$43,3,FALSE())</f>
        <v>0.92</v>
      </c>
      <c r="J274" s="22" t="n">
        <f aca="false">H274-I274</f>
        <v>-0.0331578947368422</v>
      </c>
      <c r="K274" s="2" t="str">
        <f aca="false">IF(J274&lt;-Targets!$F$2,"Under",IF(J274&gt;Targets!$F$2,"Over","On Track"))</f>
        <v>On Track</v>
      </c>
    </row>
    <row r="275" customFormat="false" ht="15" hidden="false" customHeight="false" outlineLevel="0" collapsed="false">
      <c r="A275" s="17" t="n">
        <v>46204</v>
      </c>
      <c r="B275" s="18" t="s">
        <v>63</v>
      </c>
      <c r="C275" s="2" t="str">
        <f aca="false">VLOOKUP(B275,Targets!$A$2:$D$43,2,FALSE())</f>
        <v>West</v>
      </c>
      <c r="D275" s="19" t="n">
        <v>2400</v>
      </c>
      <c r="E275" s="19" t="n">
        <v>2336</v>
      </c>
      <c r="F275" s="20" t="n">
        <f aca="false">E275-D275</f>
        <v>-64</v>
      </c>
      <c r="G275" s="21" t="n">
        <f aca="false">IF(D275=0,0,F275/D275)</f>
        <v>-0.0266666666666667</v>
      </c>
      <c r="H275" s="21" t="n">
        <f aca="false">IF(D275=0,0,E275/D275)</f>
        <v>0.973333333333333</v>
      </c>
      <c r="I275" s="21" t="n">
        <f aca="false">VLOOKUP(B275,Targets!$A$2:$D$43,3,FALSE())</f>
        <v>0.85</v>
      </c>
      <c r="J275" s="22" t="n">
        <f aca="false">H275-I275</f>
        <v>0.123333333333333</v>
      </c>
      <c r="K275" s="2" t="str">
        <f aca="false">IF(J275&lt;-Targets!$F$2,"Under",IF(J275&gt;Targets!$F$2,"Over","On Track"))</f>
        <v>Over</v>
      </c>
    </row>
    <row r="276" customFormat="false" ht="15" hidden="false" customHeight="false" outlineLevel="0" collapsed="false">
      <c r="A276" s="17" t="n">
        <v>46204</v>
      </c>
      <c r="B276" s="18" t="s">
        <v>64</v>
      </c>
      <c r="C276" s="2" t="str">
        <f aca="false">VLOOKUP(B276,Targets!$A$2:$D$43,2,FALSE())</f>
        <v>West</v>
      </c>
      <c r="D276" s="19" t="n">
        <v>1900</v>
      </c>
      <c r="E276" s="19" t="n">
        <v>1733</v>
      </c>
      <c r="F276" s="20" t="n">
        <f aca="false">E276-D276</f>
        <v>-167</v>
      </c>
      <c r="G276" s="21" t="n">
        <f aca="false">IF(D276=0,0,F276/D276)</f>
        <v>-0.0878947368421053</v>
      </c>
      <c r="H276" s="21" t="n">
        <f aca="false">IF(D276=0,0,E276/D276)</f>
        <v>0.912105263157895</v>
      </c>
      <c r="I276" s="21" t="n">
        <f aca="false">VLOOKUP(B276,Targets!$A$2:$D$43,3,FALSE())</f>
        <v>0.92</v>
      </c>
      <c r="J276" s="22" t="n">
        <f aca="false">H276-I276</f>
        <v>-0.00789473684210529</v>
      </c>
      <c r="K276" s="2" t="str">
        <f aca="false">IF(J276&lt;-Targets!$F$2,"Under",IF(J276&gt;Targets!$F$2,"Over","On Track"))</f>
        <v>On Track</v>
      </c>
    </row>
    <row r="277" customFormat="false" ht="15" hidden="false" customHeight="false" outlineLevel="0" collapsed="false">
      <c r="A277" s="17" t="n">
        <v>46204</v>
      </c>
      <c r="B277" s="18" t="s">
        <v>65</v>
      </c>
      <c r="C277" s="2" t="str">
        <f aca="false">VLOOKUP(B277,Targets!$A$2:$D$43,2,FALSE())</f>
        <v>West</v>
      </c>
      <c r="D277" s="19" t="n">
        <v>900</v>
      </c>
      <c r="E277" s="19" t="n">
        <v>916</v>
      </c>
      <c r="F277" s="20" t="n">
        <f aca="false">E277-D277</f>
        <v>16</v>
      </c>
      <c r="G277" s="21" t="n">
        <f aca="false">IF(D277=0,0,F277/D277)</f>
        <v>0.0177777777777778</v>
      </c>
      <c r="H277" s="21" t="n">
        <f aca="false">IF(D277=0,0,E277/D277)</f>
        <v>1.01777777777778</v>
      </c>
      <c r="I277" s="21" t="n">
        <f aca="false">VLOOKUP(B277,Targets!$A$2:$D$43,3,FALSE())</f>
        <v>0.92</v>
      </c>
      <c r="J277" s="22" t="n">
        <f aca="false">H277-I277</f>
        <v>0.0977777777777776</v>
      </c>
      <c r="K277" s="2" t="str">
        <f aca="false">IF(J277&lt;-Targets!$F$2,"Under",IF(J277&gt;Targets!$F$2,"Over","On Track"))</f>
        <v>Over</v>
      </c>
    </row>
    <row r="278" customFormat="false" ht="15" hidden="false" customHeight="false" outlineLevel="0" collapsed="false">
      <c r="A278" s="17" t="n">
        <v>46204</v>
      </c>
      <c r="B278" s="18" t="s">
        <v>66</v>
      </c>
      <c r="C278" s="2" t="str">
        <f aca="false">VLOOKUP(B278,Targets!$A$2:$D$43,2,FALSE())</f>
        <v>West</v>
      </c>
      <c r="D278" s="19" t="n">
        <v>1450</v>
      </c>
      <c r="E278" s="19" t="n">
        <v>1315</v>
      </c>
      <c r="F278" s="20" t="n">
        <f aca="false">E278-D278</f>
        <v>-135</v>
      </c>
      <c r="G278" s="21" t="n">
        <f aca="false">IF(D278=0,0,F278/D278)</f>
        <v>-0.0931034482758621</v>
      </c>
      <c r="H278" s="21" t="n">
        <f aca="false">IF(D278=0,0,E278/D278)</f>
        <v>0.906896551724138</v>
      </c>
      <c r="I278" s="21" t="n">
        <f aca="false">VLOOKUP(B278,Targets!$A$2:$D$43,3,FALSE())</f>
        <v>0.92</v>
      </c>
      <c r="J278" s="22" t="n">
        <f aca="false">H278-I278</f>
        <v>-0.0131034482758621</v>
      </c>
      <c r="K278" s="2" t="str">
        <f aca="false">IF(J278&lt;-Targets!$F$2,"Under",IF(J278&gt;Targets!$F$2,"Over","On Track"))</f>
        <v>On Track</v>
      </c>
    </row>
    <row r="279" customFormat="false" ht="15" hidden="false" customHeight="false" outlineLevel="0" collapsed="false">
      <c r="A279" s="17" t="n">
        <v>46204</v>
      </c>
      <c r="B279" s="18" t="s">
        <v>67</v>
      </c>
      <c r="C279" s="2" t="str">
        <f aca="false">VLOOKUP(B279,Targets!$A$2:$D$43,2,FALSE())</f>
        <v>West</v>
      </c>
      <c r="D279" s="19" t="n">
        <v>1950</v>
      </c>
      <c r="E279" s="19" t="n">
        <v>1912</v>
      </c>
      <c r="F279" s="20" t="n">
        <f aca="false">E279-D279</f>
        <v>-38</v>
      </c>
      <c r="G279" s="21" t="n">
        <f aca="false">IF(D279=0,0,F279/D279)</f>
        <v>-0.0194871794871795</v>
      </c>
      <c r="H279" s="21" t="n">
        <f aca="false">IF(D279=0,0,E279/D279)</f>
        <v>0.980512820512821</v>
      </c>
      <c r="I279" s="21" t="n">
        <f aca="false">VLOOKUP(B279,Targets!$A$2:$D$43,3,FALSE())</f>
        <v>0.92</v>
      </c>
      <c r="J279" s="22" t="n">
        <f aca="false">H279-I279</f>
        <v>0.0605128205128205</v>
      </c>
      <c r="K279" s="2" t="str">
        <f aca="false">IF(J279&lt;-Targets!$F$2,"Under",IF(J279&gt;Targets!$F$2,"Over","On Track"))</f>
        <v>Over</v>
      </c>
    </row>
    <row r="280" customFormat="false" ht="15" hidden="false" customHeight="false" outlineLevel="0" collapsed="false">
      <c r="A280" s="17" t="n">
        <v>46204</v>
      </c>
      <c r="B280" s="18" t="s">
        <v>68</v>
      </c>
      <c r="C280" s="2" t="str">
        <f aca="false">VLOOKUP(B280,Targets!$A$2:$D$43,2,FALSE())</f>
        <v>West</v>
      </c>
      <c r="D280" s="19" t="n">
        <v>2650</v>
      </c>
      <c r="E280" s="19" t="n">
        <v>2350</v>
      </c>
      <c r="F280" s="20" t="n">
        <f aca="false">E280-D280</f>
        <v>-300</v>
      </c>
      <c r="G280" s="21" t="n">
        <f aca="false">IF(D280=0,0,F280/D280)</f>
        <v>-0.113207547169811</v>
      </c>
      <c r="H280" s="21" t="n">
        <f aca="false">IF(D280=0,0,E280/D280)</f>
        <v>0.886792452830189</v>
      </c>
      <c r="I280" s="21" t="n">
        <f aca="false">VLOOKUP(B280,Targets!$A$2:$D$43,3,FALSE())</f>
        <v>0.9</v>
      </c>
      <c r="J280" s="22" t="n">
        <f aca="false">H280-I280</f>
        <v>-0.0132075471698113</v>
      </c>
      <c r="K280" s="2" t="str">
        <f aca="false">IF(J280&lt;-Targets!$F$2,"Under",IF(J280&gt;Targets!$F$2,"Over","On Track"))</f>
        <v>On Track</v>
      </c>
    </row>
    <row r="281" customFormat="false" ht="15" hidden="false" customHeight="false" outlineLevel="0" collapsed="false">
      <c r="A281" s="17" t="n">
        <v>46204</v>
      </c>
      <c r="B281" s="18" t="s">
        <v>69</v>
      </c>
      <c r="C281" s="2" t="str">
        <f aca="false">VLOOKUP(B281,Targets!$A$2:$D$43,2,FALSE())</f>
        <v>West</v>
      </c>
      <c r="D281" s="19" t="n">
        <v>2250</v>
      </c>
      <c r="E281" s="19" t="n">
        <v>2091</v>
      </c>
      <c r="F281" s="20" t="n">
        <f aca="false">E281-D281</f>
        <v>-159</v>
      </c>
      <c r="G281" s="21" t="n">
        <f aca="false">IF(D281=0,0,F281/D281)</f>
        <v>-0.0706666666666667</v>
      </c>
      <c r="H281" s="21" t="n">
        <f aca="false">IF(D281=0,0,E281/D281)</f>
        <v>0.929333333333333</v>
      </c>
      <c r="I281" s="21" t="n">
        <f aca="false">VLOOKUP(B281,Targets!$A$2:$D$43,3,FALSE())</f>
        <v>0.92</v>
      </c>
      <c r="J281" s="22" t="n">
        <f aca="false">H281-I281</f>
        <v>0.00933333333333331</v>
      </c>
      <c r="K281" s="2" t="str">
        <f aca="false">IF(J281&lt;-Targets!$F$2,"Under",IF(J281&gt;Targets!$F$2,"Over","On Track"))</f>
        <v>On Track</v>
      </c>
    </row>
    <row r="282" customFormat="false" ht="15" hidden="false" customHeight="false" outlineLevel="0" collapsed="false">
      <c r="A282" s="17" t="n">
        <v>46204</v>
      </c>
      <c r="B282" s="18" t="s">
        <v>70</v>
      </c>
      <c r="C282" s="2" t="str">
        <f aca="false">VLOOKUP(B282,Targets!$A$2:$D$43,2,FALSE())</f>
        <v>Central</v>
      </c>
      <c r="D282" s="19" t="n">
        <v>1850</v>
      </c>
      <c r="E282" s="19" t="n">
        <v>1556</v>
      </c>
      <c r="F282" s="20" t="n">
        <f aca="false">E282-D282</f>
        <v>-294</v>
      </c>
      <c r="G282" s="21" t="n">
        <f aca="false">IF(D282=0,0,F282/D282)</f>
        <v>-0.158918918918919</v>
      </c>
      <c r="H282" s="21" t="n">
        <f aca="false">IF(D282=0,0,E282/D282)</f>
        <v>0.841081081081081</v>
      </c>
      <c r="I282" s="21" t="n">
        <f aca="false">VLOOKUP(B282,Targets!$A$2:$D$43,3,FALSE())</f>
        <v>0.9</v>
      </c>
      <c r="J282" s="22" t="n">
        <f aca="false">H282-I282</f>
        <v>-0.058918918918919</v>
      </c>
      <c r="K282" s="2" t="str">
        <f aca="false">IF(J282&lt;-Targets!$F$2,"Under",IF(J282&gt;Targets!$F$2,"Over","On Track"))</f>
        <v>Under</v>
      </c>
    </row>
    <row r="283" customFormat="false" ht="15" hidden="false" customHeight="false" outlineLevel="0" collapsed="false">
      <c r="A283" s="17" t="n">
        <v>46204</v>
      </c>
      <c r="B283" s="18" t="s">
        <v>71</v>
      </c>
      <c r="C283" s="2" t="str">
        <f aca="false">VLOOKUP(B283,Targets!$A$2:$D$43,2,FALSE())</f>
        <v>Central</v>
      </c>
      <c r="D283" s="19" t="n">
        <v>1300</v>
      </c>
      <c r="E283" s="19" t="n">
        <v>1017</v>
      </c>
      <c r="F283" s="20" t="n">
        <f aca="false">E283-D283</f>
        <v>-283</v>
      </c>
      <c r="G283" s="21" t="n">
        <f aca="false">IF(D283=0,0,F283/D283)</f>
        <v>-0.217692307692308</v>
      </c>
      <c r="H283" s="21" t="n">
        <f aca="false">IF(D283=0,0,E283/D283)</f>
        <v>0.782307692307692</v>
      </c>
      <c r="I283" s="21" t="n">
        <f aca="false">VLOOKUP(B283,Targets!$A$2:$D$43,3,FALSE())</f>
        <v>0.85</v>
      </c>
      <c r="J283" s="22" t="n">
        <f aca="false">H283-I283</f>
        <v>-0.0676923076923077</v>
      </c>
      <c r="K283" s="2" t="str">
        <f aca="false">IF(J283&lt;-Targets!$F$2,"Under",IF(J283&gt;Targets!$F$2,"Over","On Track"))</f>
        <v>Under</v>
      </c>
    </row>
    <row r="284" customFormat="false" ht="15" hidden="false" customHeight="false" outlineLevel="0" collapsed="false">
      <c r="A284" s="17" t="n">
        <v>46204</v>
      </c>
      <c r="B284" s="18" t="s">
        <v>72</v>
      </c>
      <c r="C284" s="2" t="str">
        <f aca="false">VLOOKUP(B284,Targets!$A$2:$D$43,2,FALSE())</f>
        <v>Central</v>
      </c>
      <c r="D284" s="19" t="n">
        <v>2700</v>
      </c>
      <c r="E284" s="19" t="n">
        <v>2323</v>
      </c>
      <c r="F284" s="20" t="n">
        <f aca="false">E284-D284</f>
        <v>-377</v>
      </c>
      <c r="G284" s="21" t="n">
        <f aca="false">IF(D284=0,0,F284/D284)</f>
        <v>-0.13962962962963</v>
      </c>
      <c r="H284" s="21" t="n">
        <f aca="false">IF(D284=0,0,E284/D284)</f>
        <v>0.86037037037037</v>
      </c>
      <c r="I284" s="21" t="n">
        <f aca="false">VLOOKUP(B284,Targets!$A$2:$D$43,3,FALSE())</f>
        <v>0.85</v>
      </c>
      <c r="J284" s="22" t="n">
        <f aca="false">H284-I284</f>
        <v>0.0103703703703704</v>
      </c>
      <c r="K284" s="2" t="str">
        <f aca="false">IF(J284&lt;-Targets!$F$2,"Under",IF(J284&gt;Targets!$F$2,"Over","On Track"))</f>
        <v>On Track</v>
      </c>
    </row>
    <row r="285" customFormat="false" ht="15" hidden="false" customHeight="false" outlineLevel="0" collapsed="false">
      <c r="A285" s="17" t="n">
        <v>46204</v>
      </c>
      <c r="B285" s="18" t="s">
        <v>73</v>
      </c>
      <c r="C285" s="2" t="str">
        <f aca="false">VLOOKUP(B285,Targets!$A$2:$D$43,2,FALSE())</f>
        <v>Central</v>
      </c>
      <c r="D285" s="19" t="n">
        <v>1300</v>
      </c>
      <c r="E285" s="19" t="n">
        <v>1107</v>
      </c>
      <c r="F285" s="20" t="n">
        <f aca="false">E285-D285</f>
        <v>-193</v>
      </c>
      <c r="G285" s="21" t="n">
        <f aca="false">IF(D285=0,0,F285/D285)</f>
        <v>-0.148461538461538</v>
      </c>
      <c r="H285" s="21" t="n">
        <f aca="false">IF(D285=0,0,E285/D285)</f>
        <v>0.851538461538462</v>
      </c>
      <c r="I285" s="21" t="n">
        <f aca="false">VLOOKUP(B285,Targets!$A$2:$D$43,3,FALSE())</f>
        <v>0.85</v>
      </c>
      <c r="J285" s="22" t="n">
        <f aca="false">H285-I285</f>
        <v>0.0015384615384616</v>
      </c>
      <c r="K285" s="2" t="str">
        <f aca="false">IF(J285&lt;-Targets!$F$2,"Under",IF(J285&gt;Targets!$F$2,"Over","On Track"))</f>
        <v>On Track</v>
      </c>
    </row>
    <row r="286" customFormat="false" ht="15" hidden="false" customHeight="false" outlineLevel="0" collapsed="false">
      <c r="A286" s="17" t="n">
        <v>46204</v>
      </c>
      <c r="B286" s="18" t="s">
        <v>74</v>
      </c>
      <c r="C286" s="2" t="str">
        <f aca="false">VLOOKUP(B286,Targets!$A$2:$D$43,2,FALSE())</f>
        <v>Central</v>
      </c>
      <c r="D286" s="19" t="n">
        <v>2550</v>
      </c>
      <c r="E286" s="19" t="n">
        <v>2176</v>
      </c>
      <c r="F286" s="20" t="n">
        <f aca="false">E286-D286</f>
        <v>-374</v>
      </c>
      <c r="G286" s="21" t="n">
        <f aca="false">IF(D286=0,0,F286/D286)</f>
        <v>-0.146666666666667</v>
      </c>
      <c r="H286" s="21" t="n">
        <f aca="false">IF(D286=0,0,E286/D286)</f>
        <v>0.853333333333333</v>
      </c>
      <c r="I286" s="21" t="n">
        <f aca="false">VLOOKUP(B286,Targets!$A$2:$D$43,3,FALSE())</f>
        <v>0.85</v>
      </c>
      <c r="J286" s="22" t="n">
        <f aca="false">H286-I286</f>
        <v>0.00333333333333341</v>
      </c>
      <c r="K286" s="2" t="str">
        <f aca="false">IF(J286&lt;-Targets!$F$2,"Under",IF(J286&gt;Targets!$F$2,"Over","On Track"))</f>
        <v>On Track</v>
      </c>
    </row>
    <row r="287" customFormat="false" ht="15" hidden="false" customHeight="false" outlineLevel="0" collapsed="false">
      <c r="A287" s="17" t="n">
        <v>46204</v>
      </c>
      <c r="B287" s="18" t="s">
        <v>75</v>
      </c>
      <c r="C287" s="2" t="str">
        <f aca="false">VLOOKUP(B287,Targets!$A$2:$D$43,2,FALSE())</f>
        <v>Central</v>
      </c>
      <c r="D287" s="19" t="n">
        <v>2000</v>
      </c>
      <c r="E287" s="19" t="n">
        <v>1699</v>
      </c>
      <c r="F287" s="20" t="n">
        <f aca="false">E287-D287</f>
        <v>-301</v>
      </c>
      <c r="G287" s="21" t="n">
        <f aca="false">IF(D287=0,0,F287/D287)</f>
        <v>-0.1505</v>
      </c>
      <c r="H287" s="21" t="n">
        <f aca="false">IF(D287=0,0,E287/D287)</f>
        <v>0.8495</v>
      </c>
      <c r="I287" s="21" t="n">
        <f aca="false">VLOOKUP(B287,Targets!$A$2:$D$43,3,FALSE())</f>
        <v>0.88</v>
      </c>
      <c r="J287" s="22" t="n">
        <f aca="false">H287-I287</f>
        <v>-0.0305</v>
      </c>
      <c r="K287" s="2" t="str">
        <f aca="false">IF(J287&lt;-Targets!$F$2,"Under",IF(J287&gt;Targets!$F$2,"Over","On Track"))</f>
        <v>On Track</v>
      </c>
    </row>
    <row r="288" customFormat="false" ht="15" hidden="false" customHeight="false" outlineLevel="0" collapsed="false">
      <c r="A288" s="17" t="n">
        <v>46204</v>
      </c>
      <c r="B288" s="18" t="s">
        <v>76</v>
      </c>
      <c r="C288" s="2" t="str">
        <f aca="false">VLOOKUP(B288,Targets!$A$2:$D$43,2,FALSE())</f>
        <v>Central</v>
      </c>
      <c r="D288" s="19" t="n">
        <v>2150</v>
      </c>
      <c r="E288" s="19" t="n">
        <v>2025</v>
      </c>
      <c r="F288" s="20" t="n">
        <f aca="false">E288-D288</f>
        <v>-125</v>
      </c>
      <c r="G288" s="21" t="n">
        <f aca="false">IF(D288=0,0,F288/D288)</f>
        <v>-0.0581395348837209</v>
      </c>
      <c r="H288" s="21" t="n">
        <f aca="false">IF(D288=0,0,E288/D288)</f>
        <v>0.941860465116279</v>
      </c>
      <c r="I288" s="21" t="n">
        <f aca="false">VLOOKUP(B288,Targets!$A$2:$D$43,3,FALSE())</f>
        <v>0.9</v>
      </c>
      <c r="J288" s="22" t="n">
        <f aca="false">H288-I288</f>
        <v>0.0418604651162791</v>
      </c>
      <c r="K288" s="2" t="str">
        <f aca="false">IF(J288&lt;-Targets!$F$2,"Under",IF(J288&gt;Targets!$F$2,"Over","On Track"))</f>
        <v>On Track</v>
      </c>
    </row>
    <row r="289" customFormat="false" ht="15" hidden="false" customHeight="false" outlineLevel="0" collapsed="false">
      <c r="A289" s="17" t="n">
        <v>46204</v>
      </c>
      <c r="B289" s="18" t="s">
        <v>77</v>
      </c>
      <c r="C289" s="2" t="str">
        <f aca="false">VLOOKUP(B289,Targets!$A$2:$D$43,2,FALSE())</f>
        <v>North-East</v>
      </c>
      <c r="D289" s="19" t="n">
        <v>1750</v>
      </c>
      <c r="E289" s="19" t="n">
        <v>1508</v>
      </c>
      <c r="F289" s="20" t="n">
        <f aca="false">E289-D289</f>
        <v>-242</v>
      </c>
      <c r="G289" s="21" t="n">
        <f aca="false">IF(D289=0,0,F289/D289)</f>
        <v>-0.138285714285714</v>
      </c>
      <c r="H289" s="21" t="n">
        <f aca="false">IF(D289=0,0,E289/D289)</f>
        <v>0.861714285714286</v>
      </c>
      <c r="I289" s="21" t="n">
        <f aca="false">VLOOKUP(B289,Targets!$A$2:$D$43,3,FALSE())</f>
        <v>0.88</v>
      </c>
      <c r="J289" s="22" t="n">
        <f aca="false">H289-I289</f>
        <v>-0.0182857142857142</v>
      </c>
      <c r="K289" s="2" t="str">
        <f aca="false">IF(J289&lt;-Targets!$F$2,"Under",IF(J289&gt;Targets!$F$2,"Over","On Track"))</f>
        <v>On Track</v>
      </c>
    </row>
    <row r="290" customFormat="false" ht="15" hidden="false" customHeight="false" outlineLevel="0" collapsed="false">
      <c r="A290" s="17" t="n">
        <v>46204</v>
      </c>
      <c r="B290" s="18" t="s">
        <v>78</v>
      </c>
      <c r="C290" s="2" t="str">
        <f aca="false">VLOOKUP(B290,Targets!$A$2:$D$43,2,FALSE())</f>
        <v>North-East</v>
      </c>
      <c r="D290" s="19" t="n">
        <v>1350</v>
      </c>
      <c r="E290" s="19" t="n">
        <v>1169</v>
      </c>
      <c r="F290" s="20" t="n">
        <f aca="false">E290-D290</f>
        <v>-181</v>
      </c>
      <c r="G290" s="21" t="n">
        <f aca="false">IF(D290=0,0,F290/D290)</f>
        <v>-0.134074074074074</v>
      </c>
      <c r="H290" s="21" t="n">
        <f aca="false">IF(D290=0,0,E290/D290)</f>
        <v>0.865925925925926</v>
      </c>
      <c r="I290" s="21" t="n">
        <f aca="false">VLOOKUP(B290,Targets!$A$2:$D$43,3,FALSE())</f>
        <v>0.92</v>
      </c>
      <c r="J290" s="22" t="n">
        <f aca="false">H290-I290</f>
        <v>-0.0540740740740742</v>
      </c>
      <c r="K290" s="2" t="str">
        <f aca="false">IF(J290&lt;-Targets!$F$2,"Under",IF(J290&gt;Targets!$F$2,"Over","On Track"))</f>
        <v>Under</v>
      </c>
    </row>
    <row r="291" customFormat="false" ht="15" hidden="false" customHeight="false" outlineLevel="0" collapsed="false">
      <c r="A291" s="17" t="n">
        <v>46204</v>
      </c>
      <c r="B291" s="18" t="s">
        <v>79</v>
      </c>
      <c r="C291" s="2" t="str">
        <f aca="false">VLOOKUP(B291,Targets!$A$2:$D$43,2,FALSE())</f>
        <v>North-East</v>
      </c>
      <c r="D291" s="19" t="n">
        <v>1250</v>
      </c>
      <c r="E291" s="19" t="n">
        <v>997</v>
      </c>
      <c r="F291" s="20" t="n">
        <f aca="false">E291-D291</f>
        <v>-253</v>
      </c>
      <c r="G291" s="21" t="n">
        <f aca="false">IF(D291=0,0,F291/D291)</f>
        <v>-0.2024</v>
      </c>
      <c r="H291" s="21" t="n">
        <f aca="false">IF(D291=0,0,E291/D291)</f>
        <v>0.7976</v>
      </c>
      <c r="I291" s="21" t="n">
        <f aca="false">VLOOKUP(B291,Targets!$A$2:$D$43,3,FALSE())</f>
        <v>0.92</v>
      </c>
      <c r="J291" s="22" t="n">
        <f aca="false">H291-I291</f>
        <v>-0.1224</v>
      </c>
      <c r="K291" s="2" t="str">
        <f aca="false">IF(J291&lt;-Targets!$F$2,"Under",IF(J291&gt;Targets!$F$2,"Over","On Track"))</f>
        <v>Under</v>
      </c>
    </row>
    <row r="292" customFormat="false" ht="15" hidden="false" customHeight="false" outlineLevel="0" collapsed="false">
      <c r="A292" s="17" t="n">
        <v>46204</v>
      </c>
      <c r="B292" s="18" t="s">
        <v>80</v>
      </c>
      <c r="C292" s="2" t="str">
        <f aca="false">VLOOKUP(B292,Targets!$A$2:$D$43,2,FALSE())</f>
        <v>North-East</v>
      </c>
      <c r="D292" s="19" t="n">
        <v>2350</v>
      </c>
      <c r="E292" s="19" t="n">
        <v>1984</v>
      </c>
      <c r="F292" s="20" t="n">
        <f aca="false">E292-D292</f>
        <v>-366</v>
      </c>
      <c r="G292" s="21" t="n">
        <f aca="false">IF(D292=0,0,F292/D292)</f>
        <v>-0.155744680851064</v>
      </c>
      <c r="H292" s="21" t="n">
        <f aca="false">IF(D292=0,0,E292/D292)</f>
        <v>0.844255319148936</v>
      </c>
      <c r="I292" s="21" t="n">
        <f aca="false">VLOOKUP(B292,Targets!$A$2:$D$43,3,FALSE())</f>
        <v>0.88</v>
      </c>
      <c r="J292" s="22" t="n">
        <f aca="false">H292-I292</f>
        <v>-0.0357446808510639</v>
      </c>
      <c r="K292" s="2" t="str">
        <f aca="false">IF(J292&lt;-Targets!$F$2,"Under",IF(J292&gt;Targets!$F$2,"Over","On Track"))</f>
        <v>On Track</v>
      </c>
    </row>
    <row r="293" customFormat="false" ht="15" hidden="false" customHeight="false" outlineLevel="0" collapsed="false">
      <c r="A293" s="17" t="n">
        <v>46204</v>
      </c>
      <c r="B293" s="18" t="s">
        <v>81</v>
      </c>
      <c r="C293" s="2" t="str">
        <f aca="false">VLOOKUP(B293,Targets!$A$2:$D$43,2,FALSE())</f>
        <v>North-East</v>
      </c>
      <c r="D293" s="19" t="n">
        <v>1500</v>
      </c>
      <c r="E293" s="19" t="n">
        <v>1264</v>
      </c>
      <c r="F293" s="20" t="n">
        <f aca="false">E293-D293</f>
        <v>-236</v>
      </c>
      <c r="G293" s="21" t="n">
        <f aca="false">IF(D293=0,0,F293/D293)</f>
        <v>-0.157333333333333</v>
      </c>
      <c r="H293" s="21" t="n">
        <f aca="false">IF(D293=0,0,E293/D293)</f>
        <v>0.842666666666667</v>
      </c>
      <c r="I293" s="21" t="n">
        <f aca="false">VLOOKUP(B293,Targets!$A$2:$D$43,3,FALSE())</f>
        <v>0.88</v>
      </c>
      <c r="J293" s="22" t="n">
        <f aca="false">H293-I293</f>
        <v>-0.0373333333333333</v>
      </c>
      <c r="K293" s="2" t="str">
        <f aca="false">IF(J293&lt;-Targets!$F$2,"Under",IF(J293&gt;Targets!$F$2,"Over","On Track"))</f>
        <v>On Track</v>
      </c>
    </row>
    <row r="294" customFormat="false" ht="15" hidden="false" customHeight="false" outlineLevel="0" collapsed="false">
      <c r="A294" s="17" t="n">
        <v>46204</v>
      </c>
      <c r="B294" s="18" t="s">
        <v>82</v>
      </c>
      <c r="C294" s="2" t="str">
        <f aca="false">VLOOKUP(B294,Targets!$A$2:$D$43,2,FALSE())</f>
        <v>North-East</v>
      </c>
      <c r="D294" s="19" t="n">
        <v>900</v>
      </c>
      <c r="E294" s="19" t="n">
        <v>706</v>
      </c>
      <c r="F294" s="20" t="n">
        <f aca="false">E294-D294</f>
        <v>-194</v>
      </c>
      <c r="G294" s="21" t="n">
        <f aca="false">IF(D294=0,0,F294/D294)</f>
        <v>-0.215555555555556</v>
      </c>
      <c r="H294" s="21" t="n">
        <f aca="false">IF(D294=0,0,E294/D294)</f>
        <v>0.784444444444445</v>
      </c>
      <c r="I294" s="21" t="n">
        <f aca="false">VLOOKUP(B294,Targets!$A$2:$D$43,3,FALSE())</f>
        <v>0.85</v>
      </c>
      <c r="J294" s="22" t="n">
        <f aca="false">H294-I294</f>
        <v>-0.0655555555555555</v>
      </c>
      <c r="K294" s="2" t="str">
        <f aca="false">IF(J294&lt;-Targets!$F$2,"Under",IF(J294&gt;Targets!$F$2,"Over","On Track"))</f>
        <v>Under</v>
      </c>
    </row>
    <row r="295" customFormat="false" ht="15" hidden="false" customHeight="false" outlineLevel="0" collapsed="false">
      <c r="A295" s="17" t="n">
        <v>46204</v>
      </c>
      <c r="B295" s="18" t="s">
        <v>83</v>
      </c>
      <c r="C295" s="2" t="str">
        <f aca="false">VLOOKUP(B295,Targets!$A$2:$D$43,2,FALSE())</f>
        <v>North-East</v>
      </c>
      <c r="D295" s="19" t="n">
        <v>1300</v>
      </c>
      <c r="E295" s="19" t="n">
        <v>1099</v>
      </c>
      <c r="F295" s="20" t="n">
        <f aca="false">E295-D295</f>
        <v>-201</v>
      </c>
      <c r="G295" s="21" t="n">
        <f aca="false">IF(D295=0,0,F295/D295)</f>
        <v>-0.154615384615385</v>
      </c>
      <c r="H295" s="21" t="n">
        <f aca="false">IF(D295=0,0,E295/D295)</f>
        <v>0.845384615384615</v>
      </c>
      <c r="I295" s="21" t="n">
        <f aca="false">VLOOKUP(B295,Targets!$A$2:$D$43,3,FALSE())</f>
        <v>0.88</v>
      </c>
      <c r="J295" s="22" t="n">
        <f aca="false">H295-I295</f>
        <v>-0.0346153846153846</v>
      </c>
      <c r="K295" s="2" t="str">
        <f aca="false">IF(J295&lt;-Targets!$F$2,"Under",IF(J295&gt;Targets!$F$2,"Over","On Track"))</f>
        <v>On Track</v>
      </c>
    </row>
    <row r="296" customFormat="false" ht="15" hidden="false" customHeight="false" outlineLevel="0" collapsed="false">
      <c r="A296" s="17" t="n">
        <v>46235</v>
      </c>
      <c r="B296" s="18" t="s">
        <v>41</v>
      </c>
      <c r="C296" s="2" t="str">
        <f aca="false">VLOOKUP(B296,Targets!$A$2:$D$43,2,FALSE())</f>
        <v>North</v>
      </c>
      <c r="D296" s="19" t="n">
        <v>2650</v>
      </c>
      <c r="E296" s="19" t="n">
        <v>2434</v>
      </c>
      <c r="F296" s="20" t="n">
        <f aca="false">E296-D296</f>
        <v>-216</v>
      </c>
      <c r="G296" s="21" t="n">
        <f aca="false">IF(D296=0,0,F296/D296)</f>
        <v>-0.0815094339622642</v>
      </c>
      <c r="H296" s="21" t="n">
        <f aca="false">IF(D296=0,0,E296/D296)</f>
        <v>0.918490566037736</v>
      </c>
      <c r="I296" s="21" t="n">
        <f aca="false">VLOOKUP(B296,Targets!$A$2:$D$43,3,FALSE())</f>
        <v>0.88</v>
      </c>
      <c r="J296" s="22" t="n">
        <f aca="false">H296-I296</f>
        <v>0.0384905660377358</v>
      </c>
      <c r="K296" s="2" t="str">
        <f aca="false">IF(J296&lt;-Targets!$F$2,"Under",IF(J296&gt;Targets!$F$2,"Over","On Track"))</f>
        <v>On Track</v>
      </c>
    </row>
    <row r="297" customFormat="false" ht="15" hidden="false" customHeight="false" outlineLevel="0" collapsed="false">
      <c r="A297" s="17" t="n">
        <v>46235</v>
      </c>
      <c r="B297" s="18" t="s">
        <v>42</v>
      </c>
      <c r="C297" s="2" t="str">
        <f aca="false">VLOOKUP(B297,Targets!$A$2:$D$43,2,FALSE())</f>
        <v>North</v>
      </c>
      <c r="D297" s="19" t="n">
        <v>2250</v>
      </c>
      <c r="E297" s="19" t="n">
        <v>1946</v>
      </c>
      <c r="F297" s="20" t="n">
        <f aca="false">E297-D297</f>
        <v>-304</v>
      </c>
      <c r="G297" s="21" t="n">
        <f aca="false">IF(D297=0,0,F297/D297)</f>
        <v>-0.135111111111111</v>
      </c>
      <c r="H297" s="21" t="n">
        <f aca="false">IF(D297=0,0,E297/D297)</f>
        <v>0.864888888888889</v>
      </c>
      <c r="I297" s="21" t="n">
        <f aca="false">VLOOKUP(B297,Targets!$A$2:$D$43,3,FALSE())</f>
        <v>0.88</v>
      </c>
      <c r="J297" s="22" t="n">
        <f aca="false">H297-I297</f>
        <v>-0.0151111111111111</v>
      </c>
      <c r="K297" s="2" t="str">
        <f aca="false">IF(J297&lt;-Targets!$F$2,"Under",IF(J297&gt;Targets!$F$2,"Over","On Track"))</f>
        <v>On Track</v>
      </c>
    </row>
    <row r="298" customFormat="false" ht="15" hidden="false" customHeight="false" outlineLevel="0" collapsed="false">
      <c r="A298" s="17" t="n">
        <v>46235</v>
      </c>
      <c r="B298" s="18" t="s">
        <v>44</v>
      </c>
      <c r="C298" s="2" t="str">
        <f aca="false">VLOOKUP(B298,Targets!$A$2:$D$43,2,FALSE())</f>
        <v>North</v>
      </c>
      <c r="D298" s="19" t="n">
        <v>2500</v>
      </c>
      <c r="E298" s="19" t="n">
        <v>2271</v>
      </c>
      <c r="F298" s="20" t="n">
        <f aca="false">E298-D298</f>
        <v>-229</v>
      </c>
      <c r="G298" s="21" t="n">
        <f aca="false">IF(D298=0,0,F298/D298)</f>
        <v>-0.0916</v>
      </c>
      <c r="H298" s="21" t="n">
        <f aca="false">IF(D298=0,0,E298/D298)</f>
        <v>0.9084</v>
      </c>
      <c r="I298" s="21" t="n">
        <f aca="false">VLOOKUP(B298,Targets!$A$2:$D$43,3,FALSE())</f>
        <v>0.88</v>
      </c>
      <c r="J298" s="22" t="n">
        <f aca="false">H298-I298</f>
        <v>0.0284</v>
      </c>
      <c r="K298" s="2" t="str">
        <f aca="false">IF(J298&lt;-Targets!$F$2,"Under",IF(J298&gt;Targets!$F$2,"Over","On Track"))</f>
        <v>On Track</v>
      </c>
    </row>
    <row r="299" customFormat="false" ht="15" hidden="false" customHeight="false" outlineLevel="0" collapsed="false">
      <c r="A299" s="17" t="n">
        <v>46235</v>
      </c>
      <c r="B299" s="18" t="s">
        <v>45</v>
      </c>
      <c r="C299" s="2" t="str">
        <f aca="false">VLOOKUP(B299,Targets!$A$2:$D$43,2,FALSE())</f>
        <v>North</v>
      </c>
      <c r="D299" s="19" t="n">
        <v>1100</v>
      </c>
      <c r="E299" s="19" t="n">
        <v>987</v>
      </c>
      <c r="F299" s="20" t="n">
        <f aca="false">E299-D299</f>
        <v>-113</v>
      </c>
      <c r="G299" s="21" t="n">
        <f aca="false">IF(D299=0,0,F299/D299)</f>
        <v>-0.102727272727273</v>
      </c>
      <c r="H299" s="21" t="n">
        <f aca="false">IF(D299=0,0,E299/D299)</f>
        <v>0.897272727272727</v>
      </c>
      <c r="I299" s="21" t="n">
        <f aca="false">VLOOKUP(B299,Targets!$A$2:$D$43,3,FALSE())</f>
        <v>0.88</v>
      </c>
      <c r="J299" s="22" t="n">
        <f aca="false">H299-I299</f>
        <v>0.0172727272727272</v>
      </c>
      <c r="K299" s="2" t="str">
        <f aca="false">IF(J299&lt;-Targets!$F$2,"Under",IF(J299&gt;Targets!$F$2,"Over","On Track"))</f>
        <v>On Track</v>
      </c>
    </row>
    <row r="300" customFormat="false" ht="15" hidden="false" customHeight="false" outlineLevel="0" collapsed="false">
      <c r="A300" s="17" t="n">
        <v>46235</v>
      </c>
      <c r="B300" s="18" t="s">
        <v>46</v>
      </c>
      <c r="C300" s="2" t="str">
        <f aca="false">VLOOKUP(B300,Targets!$A$2:$D$43,2,FALSE())</f>
        <v>North</v>
      </c>
      <c r="D300" s="19" t="n">
        <v>2350</v>
      </c>
      <c r="E300" s="19" t="n">
        <v>2105</v>
      </c>
      <c r="F300" s="20" t="n">
        <f aca="false">E300-D300</f>
        <v>-245</v>
      </c>
      <c r="G300" s="21" t="n">
        <f aca="false">IF(D300=0,0,F300/D300)</f>
        <v>-0.104255319148936</v>
      </c>
      <c r="H300" s="21" t="n">
        <f aca="false">IF(D300=0,0,E300/D300)</f>
        <v>0.895744680851064</v>
      </c>
      <c r="I300" s="21" t="n">
        <f aca="false">VLOOKUP(B300,Targets!$A$2:$D$43,3,FALSE())</f>
        <v>0.88</v>
      </c>
      <c r="J300" s="22" t="n">
        <f aca="false">H300-I300</f>
        <v>0.0157446808510638</v>
      </c>
      <c r="K300" s="2" t="str">
        <f aca="false">IF(J300&lt;-Targets!$F$2,"Under",IF(J300&gt;Targets!$F$2,"Over","On Track"))</f>
        <v>On Track</v>
      </c>
    </row>
    <row r="301" customFormat="false" ht="15" hidden="false" customHeight="false" outlineLevel="0" collapsed="false">
      <c r="A301" s="17" t="n">
        <v>46235</v>
      </c>
      <c r="B301" s="18" t="s">
        <v>47</v>
      </c>
      <c r="C301" s="2" t="str">
        <f aca="false">VLOOKUP(B301,Targets!$A$2:$D$43,2,FALSE())</f>
        <v>North</v>
      </c>
      <c r="D301" s="19" t="n">
        <v>3150</v>
      </c>
      <c r="E301" s="19" t="n">
        <v>2781</v>
      </c>
      <c r="F301" s="20" t="n">
        <f aca="false">E301-D301</f>
        <v>-369</v>
      </c>
      <c r="G301" s="21" t="n">
        <f aca="false">IF(D301=0,0,F301/D301)</f>
        <v>-0.117142857142857</v>
      </c>
      <c r="H301" s="21" t="n">
        <f aca="false">IF(D301=0,0,E301/D301)</f>
        <v>0.882857142857143</v>
      </c>
      <c r="I301" s="21" t="n">
        <f aca="false">VLOOKUP(B301,Targets!$A$2:$D$43,3,FALSE())</f>
        <v>0.9</v>
      </c>
      <c r="J301" s="22" t="n">
        <f aca="false">H301-I301</f>
        <v>-0.0171428571428571</v>
      </c>
      <c r="K301" s="2" t="str">
        <f aca="false">IF(J301&lt;-Targets!$F$2,"Under",IF(J301&gt;Targets!$F$2,"Over","On Track"))</f>
        <v>On Track</v>
      </c>
    </row>
    <row r="302" customFormat="false" ht="15" hidden="false" customHeight="false" outlineLevel="0" collapsed="false">
      <c r="A302" s="17" t="n">
        <v>46235</v>
      </c>
      <c r="B302" s="18" t="s">
        <v>48</v>
      </c>
      <c r="C302" s="2" t="str">
        <f aca="false">VLOOKUP(B302,Targets!$A$2:$D$43,2,FALSE())</f>
        <v>North</v>
      </c>
      <c r="D302" s="19" t="n">
        <v>1850</v>
      </c>
      <c r="E302" s="19" t="n">
        <v>1530</v>
      </c>
      <c r="F302" s="20" t="n">
        <f aca="false">E302-D302</f>
        <v>-320</v>
      </c>
      <c r="G302" s="21" t="n">
        <f aca="false">IF(D302=0,0,F302/D302)</f>
        <v>-0.172972972972973</v>
      </c>
      <c r="H302" s="21" t="n">
        <f aca="false">IF(D302=0,0,E302/D302)</f>
        <v>0.827027027027027</v>
      </c>
      <c r="I302" s="21" t="n">
        <f aca="false">VLOOKUP(B302,Targets!$A$2:$D$43,3,FALSE())</f>
        <v>0.85</v>
      </c>
      <c r="J302" s="22" t="n">
        <f aca="false">H302-I302</f>
        <v>-0.022972972972973</v>
      </c>
      <c r="K302" s="2" t="str">
        <f aca="false">IF(J302&lt;-Targets!$F$2,"Under",IF(J302&gt;Targets!$F$2,"Over","On Track"))</f>
        <v>On Track</v>
      </c>
    </row>
    <row r="303" customFormat="false" ht="15" hidden="false" customHeight="false" outlineLevel="0" collapsed="false">
      <c r="A303" s="17" t="n">
        <v>46235</v>
      </c>
      <c r="B303" s="18" t="s">
        <v>49</v>
      </c>
      <c r="C303" s="2" t="str">
        <f aca="false">VLOOKUP(B303,Targets!$A$2:$D$43,2,FALSE())</f>
        <v>South</v>
      </c>
      <c r="D303" s="19" t="n">
        <v>1150</v>
      </c>
      <c r="E303" s="19" t="n">
        <v>961</v>
      </c>
      <c r="F303" s="20" t="n">
        <f aca="false">E303-D303</f>
        <v>-189</v>
      </c>
      <c r="G303" s="21" t="n">
        <f aca="false">IF(D303=0,0,F303/D303)</f>
        <v>-0.164347826086957</v>
      </c>
      <c r="H303" s="21" t="n">
        <f aca="false">IF(D303=0,0,E303/D303)</f>
        <v>0.835652173913044</v>
      </c>
      <c r="I303" s="21" t="n">
        <f aca="false">VLOOKUP(B303,Targets!$A$2:$D$43,3,FALSE())</f>
        <v>0.92</v>
      </c>
      <c r="J303" s="22" t="n">
        <f aca="false">H303-I303</f>
        <v>-0.0843478260869566</v>
      </c>
      <c r="K303" s="2" t="str">
        <f aca="false">IF(J303&lt;-Targets!$F$2,"Under",IF(J303&gt;Targets!$F$2,"Over","On Track"))</f>
        <v>Under</v>
      </c>
    </row>
    <row r="304" customFormat="false" ht="15" hidden="false" customHeight="false" outlineLevel="0" collapsed="false">
      <c r="A304" s="17" t="n">
        <v>46235</v>
      </c>
      <c r="B304" s="18" t="s">
        <v>50</v>
      </c>
      <c r="C304" s="2" t="str">
        <f aca="false">VLOOKUP(B304,Targets!$A$2:$D$43,2,FALSE())</f>
        <v>South</v>
      </c>
      <c r="D304" s="19" t="n">
        <v>3100</v>
      </c>
      <c r="E304" s="19" t="n">
        <v>2733</v>
      </c>
      <c r="F304" s="20" t="n">
        <f aca="false">E304-D304</f>
        <v>-367</v>
      </c>
      <c r="G304" s="21" t="n">
        <f aca="false">IF(D304=0,0,F304/D304)</f>
        <v>-0.118387096774194</v>
      </c>
      <c r="H304" s="21" t="n">
        <f aca="false">IF(D304=0,0,E304/D304)</f>
        <v>0.881612903225806</v>
      </c>
      <c r="I304" s="21" t="n">
        <f aca="false">VLOOKUP(B304,Targets!$A$2:$D$43,3,FALSE())</f>
        <v>0.9</v>
      </c>
      <c r="J304" s="22" t="n">
        <f aca="false">H304-I304</f>
        <v>-0.0183870967741936</v>
      </c>
      <c r="K304" s="2" t="str">
        <f aca="false">IF(J304&lt;-Targets!$F$2,"Under",IF(J304&gt;Targets!$F$2,"Over","On Track"))</f>
        <v>On Track</v>
      </c>
    </row>
    <row r="305" customFormat="false" ht="15" hidden="false" customHeight="false" outlineLevel="0" collapsed="false">
      <c r="A305" s="17" t="n">
        <v>46235</v>
      </c>
      <c r="B305" s="18" t="s">
        <v>51</v>
      </c>
      <c r="C305" s="2" t="str">
        <f aca="false">VLOOKUP(B305,Targets!$A$2:$D$43,2,FALSE())</f>
        <v>South</v>
      </c>
      <c r="D305" s="19" t="n">
        <v>2450</v>
      </c>
      <c r="E305" s="19" t="n">
        <v>2318</v>
      </c>
      <c r="F305" s="20" t="n">
        <f aca="false">E305-D305</f>
        <v>-132</v>
      </c>
      <c r="G305" s="21" t="n">
        <f aca="false">IF(D305=0,0,F305/D305)</f>
        <v>-0.0538775510204082</v>
      </c>
      <c r="H305" s="21" t="n">
        <f aca="false">IF(D305=0,0,E305/D305)</f>
        <v>0.946122448979592</v>
      </c>
      <c r="I305" s="21" t="n">
        <f aca="false">VLOOKUP(B305,Targets!$A$2:$D$43,3,FALSE())</f>
        <v>0.92</v>
      </c>
      <c r="J305" s="22" t="n">
        <f aca="false">H305-I305</f>
        <v>0.0261224489795918</v>
      </c>
      <c r="K305" s="2" t="str">
        <f aca="false">IF(J305&lt;-Targets!$F$2,"Under",IF(J305&gt;Targets!$F$2,"Over","On Track"))</f>
        <v>On Track</v>
      </c>
    </row>
    <row r="306" customFormat="false" ht="15" hidden="false" customHeight="false" outlineLevel="0" collapsed="false">
      <c r="A306" s="17" t="n">
        <v>46235</v>
      </c>
      <c r="B306" s="18" t="s">
        <v>52</v>
      </c>
      <c r="C306" s="2" t="str">
        <f aca="false">VLOOKUP(B306,Targets!$A$2:$D$43,2,FALSE())</f>
        <v>South</v>
      </c>
      <c r="D306" s="19" t="n">
        <v>1350</v>
      </c>
      <c r="E306" s="19" t="n">
        <v>1096</v>
      </c>
      <c r="F306" s="20" t="n">
        <f aca="false">E306-D306</f>
        <v>-254</v>
      </c>
      <c r="G306" s="21" t="n">
        <f aca="false">IF(D306=0,0,F306/D306)</f>
        <v>-0.188148148148148</v>
      </c>
      <c r="H306" s="21" t="n">
        <f aca="false">IF(D306=0,0,E306/D306)</f>
        <v>0.811851851851852</v>
      </c>
      <c r="I306" s="21" t="n">
        <f aca="false">VLOOKUP(B306,Targets!$A$2:$D$43,3,FALSE())</f>
        <v>0.92</v>
      </c>
      <c r="J306" s="22" t="n">
        <f aca="false">H306-I306</f>
        <v>-0.108148148148148</v>
      </c>
      <c r="K306" s="2" t="str">
        <f aca="false">IF(J306&lt;-Targets!$F$2,"Under",IF(J306&gt;Targets!$F$2,"Over","On Track"))</f>
        <v>Under</v>
      </c>
    </row>
    <row r="307" customFormat="false" ht="15" hidden="false" customHeight="false" outlineLevel="0" collapsed="false">
      <c r="A307" s="17" t="n">
        <v>46235</v>
      </c>
      <c r="B307" s="18" t="s">
        <v>53</v>
      </c>
      <c r="C307" s="2" t="str">
        <f aca="false">VLOOKUP(B307,Targets!$A$2:$D$43,2,FALSE())</f>
        <v>South</v>
      </c>
      <c r="D307" s="19" t="n">
        <v>2400</v>
      </c>
      <c r="E307" s="19" t="n">
        <v>1865</v>
      </c>
      <c r="F307" s="20" t="n">
        <f aca="false">E307-D307</f>
        <v>-535</v>
      </c>
      <c r="G307" s="21" t="n">
        <f aca="false">IF(D307=0,0,F307/D307)</f>
        <v>-0.222916666666667</v>
      </c>
      <c r="H307" s="21" t="n">
        <f aca="false">IF(D307=0,0,E307/D307)</f>
        <v>0.777083333333333</v>
      </c>
      <c r="I307" s="21" t="n">
        <f aca="false">VLOOKUP(B307,Targets!$A$2:$D$43,3,FALSE())</f>
        <v>0.92</v>
      </c>
      <c r="J307" s="22" t="n">
        <f aca="false">H307-I307</f>
        <v>-0.142916666666667</v>
      </c>
      <c r="K307" s="2" t="str">
        <f aca="false">IF(J307&lt;-Targets!$F$2,"Under",IF(J307&gt;Targets!$F$2,"Over","On Track"))</f>
        <v>Under</v>
      </c>
    </row>
    <row r="308" customFormat="false" ht="15" hidden="false" customHeight="false" outlineLevel="0" collapsed="false">
      <c r="A308" s="17" t="n">
        <v>46235</v>
      </c>
      <c r="B308" s="18" t="s">
        <v>54</v>
      </c>
      <c r="C308" s="2" t="str">
        <f aca="false">VLOOKUP(B308,Targets!$A$2:$D$43,2,FALSE())</f>
        <v>South</v>
      </c>
      <c r="D308" s="19" t="n">
        <v>3150</v>
      </c>
      <c r="E308" s="19" t="n">
        <v>2498</v>
      </c>
      <c r="F308" s="20" t="n">
        <f aca="false">E308-D308</f>
        <v>-652</v>
      </c>
      <c r="G308" s="21" t="n">
        <f aca="false">IF(D308=0,0,F308/D308)</f>
        <v>-0.206984126984127</v>
      </c>
      <c r="H308" s="21" t="n">
        <f aca="false">IF(D308=0,0,E308/D308)</f>
        <v>0.793015873015873</v>
      </c>
      <c r="I308" s="21" t="n">
        <f aca="false">VLOOKUP(B308,Targets!$A$2:$D$43,3,FALSE())</f>
        <v>0.9</v>
      </c>
      <c r="J308" s="22" t="n">
        <f aca="false">H308-I308</f>
        <v>-0.106984126984127</v>
      </c>
      <c r="K308" s="2" t="str">
        <f aca="false">IF(J308&lt;-Targets!$F$2,"Under",IF(J308&gt;Targets!$F$2,"Over","On Track"))</f>
        <v>Under</v>
      </c>
    </row>
    <row r="309" customFormat="false" ht="15" hidden="false" customHeight="false" outlineLevel="0" collapsed="false">
      <c r="A309" s="17" t="n">
        <v>46235</v>
      </c>
      <c r="B309" s="18" t="s">
        <v>55</v>
      </c>
      <c r="C309" s="2" t="str">
        <f aca="false">VLOOKUP(B309,Targets!$A$2:$D$43,2,FALSE())</f>
        <v>South</v>
      </c>
      <c r="D309" s="19" t="n">
        <v>1350</v>
      </c>
      <c r="E309" s="19" t="n">
        <v>1064</v>
      </c>
      <c r="F309" s="20" t="n">
        <f aca="false">E309-D309</f>
        <v>-286</v>
      </c>
      <c r="G309" s="21" t="n">
        <f aca="false">IF(D309=0,0,F309/D309)</f>
        <v>-0.211851851851852</v>
      </c>
      <c r="H309" s="21" t="n">
        <f aca="false">IF(D309=0,0,E309/D309)</f>
        <v>0.788148148148148</v>
      </c>
      <c r="I309" s="21" t="n">
        <f aca="false">VLOOKUP(B309,Targets!$A$2:$D$43,3,FALSE())</f>
        <v>0.92</v>
      </c>
      <c r="J309" s="22" t="n">
        <f aca="false">H309-I309</f>
        <v>-0.131851851851852</v>
      </c>
      <c r="K309" s="2" t="str">
        <f aca="false">IF(J309&lt;-Targets!$F$2,"Under",IF(J309&gt;Targets!$F$2,"Over","On Track"))</f>
        <v>Under</v>
      </c>
    </row>
    <row r="310" customFormat="false" ht="15" hidden="false" customHeight="false" outlineLevel="0" collapsed="false">
      <c r="A310" s="17" t="n">
        <v>46235</v>
      </c>
      <c r="B310" s="18" t="s">
        <v>56</v>
      </c>
      <c r="C310" s="2" t="str">
        <f aca="false">VLOOKUP(B310,Targets!$A$2:$D$43,2,FALSE())</f>
        <v>East</v>
      </c>
      <c r="D310" s="19" t="n">
        <v>2850</v>
      </c>
      <c r="E310" s="19" t="n">
        <v>2506</v>
      </c>
      <c r="F310" s="20" t="n">
        <f aca="false">E310-D310</f>
        <v>-344</v>
      </c>
      <c r="G310" s="21" t="n">
        <f aca="false">IF(D310=0,0,F310/D310)</f>
        <v>-0.120701754385965</v>
      </c>
      <c r="H310" s="21" t="n">
        <f aca="false">IF(D310=0,0,E310/D310)</f>
        <v>0.879298245614035</v>
      </c>
      <c r="I310" s="21" t="n">
        <f aca="false">VLOOKUP(B310,Targets!$A$2:$D$43,3,FALSE())</f>
        <v>0.92</v>
      </c>
      <c r="J310" s="22" t="n">
        <f aca="false">H310-I310</f>
        <v>-0.0407017543859649</v>
      </c>
      <c r="K310" s="2" t="str">
        <f aca="false">IF(J310&lt;-Targets!$F$2,"Under",IF(J310&gt;Targets!$F$2,"Over","On Track"))</f>
        <v>On Track</v>
      </c>
    </row>
    <row r="311" customFormat="false" ht="15" hidden="false" customHeight="false" outlineLevel="0" collapsed="false">
      <c r="A311" s="17" t="n">
        <v>46235</v>
      </c>
      <c r="B311" s="18" t="s">
        <v>57</v>
      </c>
      <c r="C311" s="2" t="str">
        <f aca="false">VLOOKUP(B311,Targets!$A$2:$D$43,2,FALSE())</f>
        <v>East</v>
      </c>
      <c r="D311" s="19" t="n">
        <v>2500</v>
      </c>
      <c r="E311" s="19" t="n">
        <v>2200</v>
      </c>
      <c r="F311" s="20" t="n">
        <f aca="false">E311-D311</f>
        <v>-300</v>
      </c>
      <c r="G311" s="21" t="n">
        <f aca="false">IF(D311=0,0,F311/D311)</f>
        <v>-0.12</v>
      </c>
      <c r="H311" s="21" t="n">
        <f aca="false">IF(D311=0,0,E311/D311)</f>
        <v>0.88</v>
      </c>
      <c r="I311" s="21" t="n">
        <f aca="false">VLOOKUP(B311,Targets!$A$2:$D$43,3,FALSE())</f>
        <v>0.88</v>
      </c>
      <c r="J311" s="22" t="n">
        <f aca="false">H311-I311</f>
        <v>0</v>
      </c>
      <c r="K311" s="2" t="str">
        <f aca="false">IF(J311&lt;-Targets!$F$2,"Under",IF(J311&gt;Targets!$F$2,"Over","On Track"))</f>
        <v>On Track</v>
      </c>
    </row>
    <row r="312" customFormat="false" ht="15" hidden="false" customHeight="false" outlineLevel="0" collapsed="false">
      <c r="A312" s="17" t="n">
        <v>46235</v>
      </c>
      <c r="B312" s="18" t="s">
        <v>58</v>
      </c>
      <c r="C312" s="2" t="str">
        <f aca="false">VLOOKUP(B312,Targets!$A$2:$D$43,2,FALSE())</f>
        <v>East</v>
      </c>
      <c r="D312" s="19" t="n">
        <v>1400</v>
      </c>
      <c r="E312" s="19" t="n">
        <v>1196</v>
      </c>
      <c r="F312" s="20" t="n">
        <f aca="false">E312-D312</f>
        <v>-204</v>
      </c>
      <c r="G312" s="21" t="n">
        <f aca="false">IF(D312=0,0,F312/D312)</f>
        <v>-0.145714285714286</v>
      </c>
      <c r="H312" s="21" t="n">
        <f aca="false">IF(D312=0,0,E312/D312)</f>
        <v>0.854285714285714</v>
      </c>
      <c r="I312" s="21" t="n">
        <f aca="false">VLOOKUP(B312,Targets!$A$2:$D$43,3,FALSE())</f>
        <v>0.92</v>
      </c>
      <c r="J312" s="22" t="n">
        <f aca="false">H312-I312</f>
        <v>-0.0657142857142857</v>
      </c>
      <c r="K312" s="2" t="str">
        <f aca="false">IF(J312&lt;-Targets!$F$2,"Under",IF(J312&gt;Targets!$F$2,"Over","On Track"))</f>
        <v>Under</v>
      </c>
    </row>
    <row r="313" customFormat="false" ht="15" hidden="false" customHeight="false" outlineLevel="0" collapsed="false">
      <c r="A313" s="17" t="n">
        <v>46235</v>
      </c>
      <c r="B313" s="18" t="s">
        <v>59</v>
      </c>
      <c r="C313" s="2" t="str">
        <f aca="false">VLOOKUP(B313,Targets!$A$2:$D$43,2,FALSE())</f>
        <v>East</v>
      </c>
      <c r="D313" s="19" t="n">
        <v>1300</v>
      </c>
      <c r="E313" s="19" t="n">
        <v>1158</v>
      </c>
      <c r="F313" s="20" t="n">
        <f aca="false">E313-D313</f>
        <v>-142</v>
      </c>
      <c r="G313" s="21" t="n">
        <f aca="false">IF(D313=0,0,F313/D313)</f>
        <v>-0.109230769230769</v>
      </c>
      <c r="H313" s="21" t="n">
        <f aca="false">IF(D313=0,0,E313/D313)</f>
        <v>0.890769230769231</v>
      </c>
      <c r="I313" s="21" t="n">
        <f aca="false">VLOOKUP(B313,Targets!$A$2:$D$43,3,FALSE())</f>
        <v>0.88</v>
      </c>
      <c r="J313" s="22" t="n">
        <f aca="false">H313-I313</f>
        <v>0.0107692307692308</v>
      </c>
      <c r="K313" s="2" t="str">
        <f aca="false">IF(J313&lt;-Targets!$F$2,"Under",IF(J313&gt;Targets!$F$2,"Over","On Track"))</f>
        <v>On Track</v>
      </c>
    </row>
    <row r="314" customFormat="false" ht="15" hidden="false" customHeight="false" outlineLevel="0" collapsed="false">
      <c r="A314" s="17" t="n">
        <v>46235</v>
      </c>
      <c r="B314" s="18" t="s">
        <v>60</v>
      </c>
      <c r="C314" s="2" t="str">
        <f aca="false">VLOOKUP(B314,Targets!$A$2:$D$43,2,FALSE())</f>
        <v>East</v>
      </c>
      <c r="D314" s="19" t="n">
        <v>3050</v>
      </c>
      <c r="E314" s="19" t="n">
        <v>2744</v>
      </c>
      <c r="F314" s="20" t="n">
        <f aca="false">E314-D314</f>
        <v>-306</v>
      </c>
      <c r="G314" s="21" t="n">
        <f aca="false">IF(D314=0,0,F314/D314)</f>
        <v>-0.100327868852459</v>
      </c>
      <c r="H314" s="21" t="n">
        <f aca="false">IF(D314=0,0,E314/D314)</f>
        <v>0.899672131147541</v>
      </c>
      <c r="I314" s="21" t="n">
        <f aca="false">VLOOKUP(B314,Targets!$A$2:$D$43,3,FALSE())</f>
        <v>0.88</v>
      </c>
      <c r="J314" s="22" t="n">
        <f aca="false">H314-I314</f>
        <v>0.019672131147541</v>
      </c>
      <c r="K314" s="2" t="str">
        <f aca="false">IF(J314&lt;-Targets!$F$2,"Under",IF(J314&gt;Targets!$F$2,"Over","On Track"))</f>
        <v>On Track</v>
      </c>
    </row>
    <row r="315" customFormat="false" ht="15" hidden="false" customHeight="false" outlineLevel="0" collapsed="false">
      <c r="A315" s="17" t="n">
        <v>46235</v>
      </c>
      <c r="B315" s="18" t="s">
        <v>61</v>
      </c>
      <c r="C315" s="2" t="str">
        <f aca="false">VLOOKUP(B315,Targets!$A$2:$D$43,2,FALSE())</f>
        <v>East</v>
      </c>
      <c r="D315" s="19" t="n">
        <v>1650</v>
      </c>
      <c r="E315" s="19" t="n">
        <v>1544</v>
      </c>
      <c r="F315" s="20" t="n">
        <f aca="false">E315-D315</f>
        <v>-106</v>
      </c>
      <c r="G315" s="21" t="n">
        <f aca="false">IF(D315=0,0,F315/D315)</f>
        <v>-0.0642424242424242</v>
      </c>
      <c r="H315" s="21" t="n">
        <f aca="false">IF(D315=0,0,E315/D315)</f>
        <v>0.935757575757576</v>
      </c>
      <c r="I315" s="21" t="n">
        <f aca="false">VLOOKUP(B315,Targets!$A$2:$D$43,3,FALSE())</f>
        <v>0.88</v>
      </c>
      <c r="J315" s="22" t="n">
        <f aca="false">H315-I315</f>
        <v>0.0557575757575758</v>
      </c>
      <c r="K315" s="2" t="str">
        <f aca="false">IF(J315&lt;-Targets!$F$2,"Under",IF(J315&gt;Targets!$F$2,"Over","On Track"))</f>
        <v>Over</v>
      </c>
    </row>
    <row r="316" customFormat="false" ht="15" hidden="false" customHeight="false" outlineLevel="0" collapsed="false">
      <c r="A316" s="17" t="n">
        <v>46235</v>
      </c>
      <c r="B316" s="18" t="s">
        <v>62</v>
      </c>
      <c r="C316" s="2" t="str">
        <f aca="false">VLOOKUP(B316,Targets!$A$2:$D$43,2,FALSE())</f>
        <v>East</v>
      </c>
      <c r="D316" s="19" t="n">
        <v>1900</v>
      </c>
      <c r="E316" s="19" t="n">
        <v>1883</v>
      </c>
      <c r="F316" s="20" t="n">
        <f aca="false">E316-D316</f>
        <v>-17</v>
      </c>
      <c r="G316" s="21" t="n">
        <f aca="false">IF(D316=0,0,F316/D316)</f>
        <v>-0.00894736842105263</v>
      </c>
      <c r="H316" s="21" t="n">
        <f aca="false">IF(D316=0,0,E316/D316)</f>
        <v>0.991052631578947</v>
      </c>
      <c r="I316" s="21" t="n">
        <f aca="false">VLOOKUP(B316,Targets!$A$2:$D$43,3,FALSE())</f>
        <v>0.92</v>
      </c>
      <c r="J316" s="22" t="n">
        <f aca="false">H316-I316</f>
        <v>0.0710526315789474</v>
      </c>
      <c r="K316" s="2" t="str">
        <f aca="false">IF(J316&lt;-Targets!$F$2,"Under",IF(J316&gt;Targets!$F$2,"Over","On Track"))</f>
        <v>Over</v>
      </c>
    </row>
    <row r="317" customFormat="false" ht="15" hidden="false" customHeight="false" outlineLevel="0" collapsed="false">
      <c r="A317" s="17" t="n">
        <v>46235</v>
      </c>
      <c r="B317" s="18" t="s">
        <v>63</v>
      </c>
      <c r="C317" s="2" t="str">
        <f aca="false">VLOOKUP(B317,Targets!$A$2:$D$43,2,FALSE())</f>
        <v>West</v>
      </c>
      <c r="D317" s="19" t="n">
        <v>2400</v>
      </c>
      <c r="E317" s="19" t="n">
        <v>2256</v>
      </c>
      <c r="F317" s="20" t="n">
        <f aca="false">E317-D317</f>
        <v>-144</v>
      </c>
      <c r="G317" s="21" t="n">
        <f aca="false">IF(D317=0,0,F317/D317)</f>
        <v>-0.06</v>
      </c>
      <c r="H317" s="21" t="n">
        <f aca="false">IF(D317=0,0,E317/D317)</f>
        <v>0.94</v>
      </c>
      <c r="I317" s="21" t="n">
        <f aca="false">VLOOKUP(B317,Targets!$A$2:$D$43,3,FALSE())</f>
        <v>0.85</v>
      </c>
      <c r="J317" s="22" t="n">
        <f aca="false">H317-I317</f>
        <v>0.09</v>
      </c>
      <c r="K317" s="2" t="str">
        <f aca="false">IF(J317&lt;-Targets!$F$2,"Under",IF(J317&gt;Targets!$F$2,"Over","On Track"))</f>
        <v>Over</v>
      </c>
    </row>
    <row r="318" customFormat="false" ht="15" hidden="false" customHeight="false" outlineLevel="0" collapsed="false">
      <c r="A318" s="17" t="n">
        <v>46235</v>
      </c>
      <c r="B318" s="18" t="s">
        <v>64</v>
      </c>
      <c r="C318" s="2" t="str">
        <f aca="false">VLOOKUP(B318,Targets!$A$2:$D$43,2,FALSE())</f>
        <v>West</v>
      </c>
      <c r="D318" s="19" t="n">
        <v>1900</v>
      </c>
      <c r="E318" s="19" t="n">
        <v>2039</v>
      </c>
      <c r="F318" s="20" t="n">
        <f aca="false">E318-D318</f>
        <v>139</v>
      </c>
      <c r="G318" s="21" t="n">
        <f aca="false">IF(D318=0,0,F318/D318)</f>
        <v>0.0731578947368421</v>
      </c>
      <c r="H318" s="21" t="n">
        <f aca="false">IF(D318=0,0,E318/D318)</f>
        <v>1.07315789473684</v>
      </c>
      <c r="I318" s="21" t="n">
        <f aca="false">VLOOKUP(B318,Targets!$A$2:$D$43,3,FALSE())</f>
        <v>0.92</v>
      </c>
      <c r="J318" s="22" t="n">
        <f aca="false">H318-I318</f>
        <v>0.153157894736842</v>
      </c>
      <c r="K318" s="2" t="str">
        <f aca="false">IF(J318&lt;-Targets!$F$2,"Under",IF(J318&gt;Targets!$F$2,"Over","On Track"))</f>
        <v>Over</v>
      </c>
    </row>
    <row r="319" customFormat="false" ht="15" hidden="false" customHeight="false" outlineLevel="0" collapsed="false">
      <c r="A319" s="17" t="n">
        <v>46235</v>
      </c>
      <c r="B319" s="18" t="s">
        <v>65</v>
      </c>
      <c r="C319" s="2" t="str">
        <f aca="false">VLOOKUP(B319,Targets!$A$2:$D$43,2,FALSE())</f>
        <v>West</v>
      </c>
      <c r="D319" s="19" t="n">
        <v>900</v>
      </c>
      <c r="E319" s="19" t="n">
        <v>842</v>
      </c>
      <c r="F319" s="20" t="n">
        <f aca="false">E319-D319</f>
        <v>-58</v>
      </c>
      <c r="G319" s="21" t="n">
        <f aca="false">IF(D319=0,0,F319/D319)</f>
        <v>-0.0644444444444444</v>
      </c>
      <c r="H319" s="21" t="n">
        <f aca="false">IF(D319=0,0,E319/D319)</f>
        <v>0.935555555555556</v>
      </c>
      <c r="I319" s="21" t="n">
        <f aca="false">VLOOKUP(B319,Targets!$A$2:$D$43,3,FALSE())</f>
        <v>0.92</v>
      </c>
      <c r="J319" s="22" t="n">
        <f aca="false">H319-I319</f>
        <v>0.0155555555555555</v>
      </c>
      <c r="K319" s="2" t="str">
        <f aca="false">IF(J319&lt;-Targets!$F$2,"Under",IF(J319&gt;Targets!$F$2,"Over","On Track"))</f>
        <v>On Track</v>
      </c>
    </row>
    <row r="320" customFormat="false" ht="15" hidden="false" customHeight="false" outlineLevel="0" collapsed="false">
      <c r="A320" s="17" t="n">
        <v>46235</v>
      </c>
      <c r="B320" s="18" t="s">
        <v>66</v>
      </c>
      <c r="C320" s="2" t="str">
        <f aca="false">VLOOKUP(B320,Targets!$A$2:$D$43,2,FALSE())</f>
        <v>West</v>
      </c>
      <c r="D320" s="19" t="n">
        <v>1450</v>
      </c>
      <c r="E320" s="19" t="n">
        <v>1412</v>
      </c>
      <c r="F320" s="20" t="n">
        <f aca="false">E320-D320</f>
        <v>-38</v>
      </c>
      <c r="G320" s="21" t="n">
        <f aca="false">IF(D320=0,0,F320/D320)</f>
        <v>-0.0262068965517241</v>
      </c>
      <c r="H320" s="21" t="n">
        <f aca="false">IF(D320=0,0,E320/D320)</f>
        <v>0.973793103448276</v>
      </c>
      <c r="I320" s="21" t="n">
        <f aca="false">VLOOKUP(B320,Targets!$A$2:$D$43,3,FALSE())</f>
        <v>0.92</v>
      </c>
      <c r="J320" s="22" t="n">
        <f aca="false">H320-I320</f>
        <v>0.0537931034482758</v>
      </c>
      <c r="K320" s="2" t="str">
        <f aca="false">IF(J320&lt;-Targets!$F$2,"Under",IF(J320&gt;Targets!$F$2,"Over","On Track"))</f>
        <v>Over</v>
      </c>
    </row>
    <row r="321" customFormat="false" ht="15" hidden="false" customHeight="false" outlineLevel="0" collapsed="false">
      <c r="A321" s="17" t="n">
        <v>46235</v>
      </c>
      <c r="B321" s="18" t="s">
        <v>67</v>
      </c>
      <c r="C321" s="2" t="str">
        <f aca="false">VLOOKUP(B321,Targets!$A$2:$D$43,2,FALSE())</f>
        <v>West</v>
      </c>
      <c r="D321" s="19" t="n">
        <v>1950</v>
      </c>
      <c r="E321" s="19" t="n">
        <v>1889</v>
      </c>
      <c r="F321" s="20" t="n">
        <f aca="false">E321-D321</f>
        <v>-61</v>
      </c>
      <c r="G321" s="21" t="n">
        <f aca="false">IF(D321=0,0,F321/D321)</f>
        <v>-0.0312820512820513</v>
      </c>
      <c r="H321" s="21" t="n">
        <f aca="false">IF(D321=0,0,E321/D321)</f>
        <v>0.968717948717949</v>
      </c>
      <c r="I321" s="21" t="n">
        <f aca="false">VLOOKUP(B321,Targets!$A$2:$D$43,3,FALSE())</f>
        <v>0.92</v>
      </c>
      <c r="J321" s="22" t="n">
        <f aca="false">H321-I321</f>
        <v>0.0487179487179487</v>
      </c>
      <c r="K321" s="2" t="str">
        <f aca="false">IF(J321&lt;-Targets!$F$2,"Under",IF(J321&gt;Targets!$F$2,"Over","On Track"))</f>
        <v>On Track</v>
      </c>
    </row>
    <row r="322" customFormat="false" ht="15" hidden="false" customHeight="false" outlineLevel="0" collapsed="false">
      <c r="A322" s="17" t="n">
        <v>46235</v>
      </c>
      <c r="B322" s="18" t="s">
        <v>68</v>
      </c>
      <c r="C322" s="2" t="str">
        <f aca="false">VLOOKUP(B322,Targets!$A$2:$D$43,2,FALSE())</f>
        <v>West</v>
      </c>
      <c r="D322" s="19" t="n">
        <v>2650</v>
      </c>
      <c r="E322" s="19" t="n">
        <v>2549</v>
      </c>
      <c r="F322" s="20" t="n">
        <f aca="false">E322-D322</f>
        <v>-101</v>
      </c>
      <c r="G322" s="21" t="n">
        <f aca="false">IF(D322=0,0,F322/D322)</f>
        <v>-0.0381132075471698</v>
      </c>
      <c r="H322" s="21" t="n">
        <f aca="false">IF(D322=0,0,E322/D322)</f>
        <v>0.96188679245283</v>
      </c>
      <c r="I322" s="21" t="n">
        <f aca="false">VLOOKUP(B322,Targets!$A$2:$D$43,3,FALSE())</f>
        <v>0.9</v>
      </c>
      <c r="J322" s="22" t="n">
        <f aca="false">H322-I322</f>
        <v>0.0618867924528301</v>
      </c>
      <c r="K322" s="2" t="str">
        <f aca="false">IF(J322&lt;-Targets!$F$2,"Under",IF(J322&gt;Targets!$F$2,"Over","On Track"))</f>
        <v>Over</v>
      </c>
    </row>
    <row r="323" customFormat="false" ht="15" hidden="false" customHeight="false" outlineLevel="0" collapsed="false">
      <c r="A323" s="17" t="n">
        <v>46235</v>
      </c>
      <c r="B323" s="18" t="s">
        <v>69</v>
      </c>
      <c r="C323" s="2" t="str">
        <f aca="false">VLOOKUP(B323,Targets!$A$2:$D$43,2,FALSE())</f>
        <v>West</v>
      </c>
      <c r="D323" s="19" t="n">
        <v>2250</v>
      </c>
      <c r="E323" s="19" t="n">
        <v>2275</v>
      </c>
      <c r="F323" s="20" t="n">
        <f aca="false">E323-D323</f>
        <v>25</v>
      </c>
      <c r="G323" s="21" t="n">
        <f aca="false">IF(D323=0,0,F323/D323)</f>
        <v>0.0111111111111111</v>
      </c>
      <c r="H323" s="21" t="n">
        <f aca="false">IF(D323=0,0,E323/D323)</f>
        <v>1.01111111111111</v>
      </c>
      <c r="I323" s="21" t="n">
        <f aca="false">VLOOKUP(B323,Targets!$A$2:$D$43,3,FALSE())</f>
        <v>0.92</v>
      </c>
      <c r="J323" s="22" t="n">
        <f aca="false">H323-I323</f>
        <v>0.091111111111111</v>
      </c>
      <c r="K323" s="2" t="str">
        <f aca="false">IF(J323&lt;-Targets!$F$2,"Under",IF(J323&gt;Targets!$F$2,"Over","On Track"))</f>
        <v>Over</v>
      </c>
    </row>
    <row r="324" customFormat="false" ht="15" hidden="false" customHeight="false" outlineLevel="0" collapsed="false">
      <c r="A324" s="17" t="n">
        <v>46235</v>
      </c>
      <c r="B324" s="18" t="s">
        <v>70</v>
      </c>
      <c r="C324" s="2" t="str">
        <f aca="false">VLOOKUP(B324,Targets!$A$2:$D$43,2,FALSE())</f>
        <v>Central</v>
      </c>
      <c r="D324" s="19" t="n">
        <v>1850</v>
      </c>
      <c r="E324" s="19" t="n">
        <v>1561</v>
      </c>
      <c r="F324" s="20" t="n">
        <f aca="false">E324-D324</f>
        <v>-289</v>
      </c>
      <c r="G324" s="21" t="n">
        <f aca="false">IF(D324=0,0,F324/D324)</f>
        <v>-0.156216216216216</v>
      </c>
      <c r="H324" s="21" t="n">
        <f aca="false">IF(D324=0,0,E324/D324)</f>
        <v>0.843783783783784</v>
      </c>
      <c r="I324" s="21" t="n">
        <f aca="false">VLOOKUP(B324,Targets!$A$2:$D$43,3,FALSE())</f>
        <v>0.9</v>
      </c>
      <c r="J324" s="22" t="n">
        <f aca="false">H324-I324</f>
        <v>-0.0562162162162162</v>
      </c>
      <c r="K324" s="2" t="str">
        <f aca="false">IF(J324&lt;-Targets!$F$2,"Under",IF(J324&gt;Targets!$F$2,"Over","On Track"))</f>
        <v>Under</v>
      </c>
    </row>
    <row r="325" customFormat="false" ht="15" hidden="false" customHeight="false" outlineLevel="0" collapsed="false">
      <c r="A325" s="17" t="n">
        <v>46235</v>
      </c>
      <c r="B325" s="18" t="s">
        <v>71</v>
      </c>
      <c r="C325" s="2" t="str">
        <f aca="false">VLOOKUP(B325,Targets!$A$2:$D$43,2,FALSE())</f>
        <v>Central</v>
      </c>
      <c r="D325" s="19" t="n">
        <v>1300</v>
      </c>
      <c r="E325" s="19" t="n">
        <v>1164</v>
      </c>
      <c r="F325" s="20" t="n">
        <f aca="false">E325-D325</f>
        <v>-136</v>
      </c>
      <c r="G325" s="21" t="n">
        <f aca="false">IF(D325=0,0,F325/D325)</f>
        <v>-0.104615384615385</v>
      </c>
      <c r="H325" s="21" t="n">
        <f aca="false">IF(D325=0,0,E325/D325)</f>
        <v>0.895384615384615</v>
      </c>
      <c r="I325" s="21" t="n">
        <f aca="false">VLOOKUP(B325,Targets!$A$2:$D$43,3,FALSE())</f>
        <v>0.85</v>
      </c>
      <c r="J325" s="22" t="n">
        <f aca="false">H325-I325</f>
        <v>0.0453846153846154</v>
      </c>
      <c r="K325" s="2" t="str">
        <f aca="false">IF(J325&lt;-Targets!$F$2,"Under",IF(J325&gt;Targets!$F$2,"Over","On Track"))</f>
        <v>On Track</v>
      </c>
    </row>
    <row r="326" customFormat="false" ht="15" hidden="false" customHeight="false" outlineLevel="0" collapsed="false">
      <c r="A326" s="17" t="n">
        <v>46235</v>
      </c>
      <c r="B326" s="18" t="s">
        <v>72</v>
      </c>
      <c r="C326" s="2" t="str">
        <f aca="false">VLOOKUP(B326,Targets!$A$2:$D$43,2,FALSE())</f>
        <v>Central</v>
      </c>
      <c r="D326" s="19" t="n">
        <v>2700</v>
      </c>
      <c r="E326" s="19" t="n">
        <v>2359</v>
      </c>
      <c r="F326" s="20" t="n">
        <f aca="false">E326-D326</f>
        <v>-341</v>
      </c>
      <c r="G326" s="21" t="n">
        <f aca="false">IF(D326=0,0,F326/D326)</f>
        <v>-0.126296296296296</v>
      </c>
      <c r="H326" s="21" t="n">
        <f aca="false">IF(D326=0,0,E326/D326)</f>
        <v>0.873703703703704</v>
      </c>
      <c r="I326" s="21" t="n">
        <f aca="false">VLOOKUP(B326,Targets!$A$2:$D$43,3,FALSE())</f>
        <v>0.85</v>
      </c>
      <c r="J326" s="22" t="n">
        <f aca="false">H326-I326</f>
        <v>0.0237037037037037</v>
      </c>
      <c r="K326" s="2" t="str">
        <f aca="false">IF(J326&lt;-Targets!$F$2,"Under",IF(J326&gt;Targets!$F$2,"Over","On Track"))</f>
        <v>On Track</v>
      </c>
    </row>
    <row r="327" customFormat="false" ht="15" hidden="false" customHeight="false" outlineLevel="0" collapsed="false">
      <c r="A327" s="17" t="n">
        <v>46235</v>
      </c>
      <c r="B327" s="18" t="s">
        <v>73</v>
      </c>
      <c r="C327" s="2" t="str">
        <f aca="false">VLOOKUP(B327,Targets!$A$2:$D$43,2,FALSE())</f>
        <v>Central</v>
      </c>
      <c r="D327" s="19" t="n">
        <v>1300</v>
      </c>
      <c r="E327" s="19" t="n">
        <v>1076</v>
      </c>
      <c r="F327" s="20" t="n">
        <f aca="false">E327-D327</f>
        <v>-224</v>
      </c>
      <c r="G327" s="21" t="n">
        <f aca="false">IF(D327=0,0,F327/D327)</f>
        <v>-0.172307692307692</v>
      </c>
      <c r="H327" s="21" t="n">
        <f aca="false">IF(D327=0,0,E327/D327)</f>
        <v>0.827692307692308</v>
      </c>
      <c r="I327" s="21" t="n">
        <f aca="false">VLOOKUP(B327,Targets!$A$2:$D$43,3,FALSE())</f>
        <v>0.85</v>
      </c>
      <c r="J327" s="22" t="n">
        <f aca="false">H327-I327</f>
        <v>-0.0223076923076923</v>
      </c>
      <c r="K327" s="2" t="str">
        <f aca="false">IF(J327&lt;-Targets!$F$2,"Under",IF(J327&gt;Targets!$F$2,"Over","On Track"))</f>
        <v>On Track</v>
      </c>
    </row>
    <row r="328" customFormat="false" ht="15" hidden="false" customHeight="false" outlineLevel="0" collapsed="false">
      <c r="A328" s="17" t="n">
        <v>46235</v>
      </c>
      <c r="B328" s="18" t="s">
        <v>74</v>
      </c>
      <c r="C328" s="2" t="str">
        <f aca="false">VLOOKUP(B328,Targets!$A$2:$D$43,2,FALSE())</f>
        <v>Central</v>
      </c>
      <c r="D328" s="19" t="n">
        <v>2550</v>
      </c>
      <c r="E328" s="19" t="n">
        <v>2126</v>
      </c>
      <c r="F328" s="20" t="n">
        <f aca="false">E328-D328</f>
        <v>-424</v>
      </c>
      <c r="G328" s="21" t="n">
        <f aca="false">IF(D328=0,0,F328/D328)</f>
        <v>-0.166274509803922</v>
      </c>
      <c r="H328" s="21" t="n">
        <f aca="false">IF(D328=0,0,E328/D328)</f>
        <v>0.833725490196078</v>
      </c>
      <c r="I328" s="21" t="n">
        <f aca="false">VLOOKUP(B328,Targets!$A$2:$D$43,3,FALSE())</f>
        <v>0.85</v>
      </c>
      <c r="J328" s="22" t="n">
        <f aca="false">H328-I328</f>
        <v>-0.0162745098039215</v>
      </c>
      <c r="K328" s="2" t="str">
        <f aca="false">IF(J328&lt;-Targets!$F$2,"Under",IF(J328&gt;Targets!$F$2,"Over","On Track"))</f>
        <v>On Track</v>
      </c>
    </row>
    <row r="329" customFormat="false" ht="15" hidden="false" customHeight="false" outlineLevel="0" collapsed="false">
      <c r="A329" s="17" t="n">
        <v>46235</v>
      </c>
      <c r="B329" s="18" t="s">
        <v>75</v>
      </c>
      <c r="C329" s="2" t="str">
        <f aca="false">VLOOKUP(B329,Targets!$A$2:$D$43,2,FALSE())</f>
        <v>Central</v>
      </c>
      <c r="D329" s="19" t="n">
        <v>2000</v>
      </c>
      <c r="E329" s="19" t="n">
        <v>1584</v>
      </c>
      <c r="F329" s="20" t="n">
        <f aca="false">E329-D329</f>
        <v>-416</v>
      </c>
      <c r="G329" s="21" t="n">
        <f aca="false">IF(D329=0,0,F329/D329)</f>
        <v>-0.208</v>
      </c>
      <c r="H329" s="21" t="n">
        <f aca="false">IF(D329=0,0,E329/D329)</f>
        <v>0.792</v>
      </c>
      <c r="I329" s="21" t="n">
        <f aca="false">VLOOKUP(B329,Targets!$A$2:$D$43,3,FALSE())</f>
        <v>0.88</v>
      </c>
      <c r="J329" s="22" t="n">
        <f aca="false">H329-I329</f>
        <v>-0.088</v>
      </c>
      <c r="K329" s="2" t="str">
        <f aca="false">IF(J329&lt;-Targets!$F$2,"Under",IF(J329&gt;Targets!$F$2,"Over","On Track"))</f>
        <v>Under</v>
      </c>
    </row>
    <row r="330" customFormat="false" ht="15" hidden="false" customHeight="false" outlineLevel="0" collapsed="false">
      <c r="A330" s="17" t="n">
        <v>46235</v>
      </c>
      <c r="B330" s="18" t="s">
        <v>76</v>
      </c>
      <c r="C330" s="2" t="str">
        <f aca="false">VLOOKUP(B330,Targets!$A$2:$D$43,2,FALSE())</f>
        <v>Central</v>
      </c>
      <c r="D330" s="19" t="n">
        <v>2150</v>
      </c>
      <c r="E330" s="19" t="n">
        <v>1583</v>
      </c>
      <c r="F330" s="20" t="n">
        <f aca="false">E330-D330</f>
        <v>-567</v>
      </c>
      <c r="G330" s="21" t="n">
        <f aca="false">IF(D330=0,0,F330/D330)</f>
        <v>-0.263720930232558</v>
      </c>
      <c r="H330" s="21" t="n">
        <f aca="false">IF(D330=0,0,E330/D330)</f>
        <v>0.736279069767442</v>
      </c>
      <c r="I330" s="21" t="n">
        <f aca="false">VLOOKUP(B330,Targets!$A$2:$D$43,3,FALSE())</f>
        <v>0.9</v>
      </c>
      <c r="J330" s="22" t="n">
        <f aca="false">H330-I330</f>
        <v>-0.163720930232558</v>
      </c>
      <c r="K330" s="2" t="str">
        <f aca="false">IF(J330&lt;-Targets!$F$2,"Under",IF(J330&gt;Targets!$F$2,"Over","On Track"))</f>
        <v>Under</v>
      </c>
    </row>
    <row r="331" customFormat="false" ht="15" hidden="false" customHeight="false" outlineLevel="0" collapsed="false">
      <c r="A331" s="17" t="n">
        <v>46235</v>
      </c>
      <c r="B331" s="18" t="s">
        <v>77</v>
      </c>
      <c r="C331" s="2" t="str">
        <f aca="false">VLOOKUP(B331,Targets!$A$2:$D$43,2,FALSE())</f>
        <v>North-East</v>
      </c>
      <c r="D331" s="19" t="n">
        <v>1750</v>
      </c>
      <c r="E331" s="19" t="n">
        <v>1410</v>
      </c>
      <c r="F331" s="20" t="n">
        <f aca="false">E331-D331</f>
        <v>-340</v>
      </c>
      <c r="G331" s="21" t="n">
        <f aca="false">IF(D331=0,0,F331/D331)</f>
        <v>-0.194285714285714</v>
      </c>
      <c r="H331" s="21" t="n">
        <f aca="false">IF(D331=0,0,E331/D331)</f>
        <v>0.805714285714286</v>
      </c>
      <c r="I331" s="21" t="n">
        <f aca="false">VLOOKUP(B331,Targets!$A$2:$D$43,3,FALSE())</f>
        <v>0.88</v>
      </c>
      <c r="J331" s="22" t="n">
        <f aca="false">H331-I331</f>
        <v>-0.0742857142857143</v>
      </c>
      <c r="K331" s="2" t="str">
        <f aca="false">IF(J331&lt;-Targets!$F$2,"Under",IF(J331&gt;Targets!$F$2,"Over","On Track"))</f>
        <v>Under</v>
      </c>
    </row>
    <row r="332" customFormat="false" ht="15" hidden="false" customHeight="false" outlineLevel="0" collapsed="false">
      <c r="A332" s="17" t="n">
        <v>46235</v>
      </c>
      <c r="B332" s="18" t="s">
        <v>78</v>
      </c>
      <c r="C332" s="2" t="str">
        <f aca="false">VLOOKUP(B332,Targets!$A$2:$D$43,2,FALSE())</f>
        <v>North-East</v>
      </c>
      <c r="D332" s="19" t="n">
        <v>1350</v>
      </c>
      <c r="E332" s="19" t="n">
        <v>1169</v>
      </c>
      <c r="F332" s="20" t="n">
        <f aca="false">E332-D332</f>
        <v>-181</v>
      </c>
      <c r="G332" s="21" t="n">
        <f aca="false">IF(D332=0,0,F332/D332)</f>
        <v>-0.134074074074074</v>
      </c>
      <c r="H332" s="21" t="n">
        <f aca="false">IF(D332=0,0,E332/D332)</f>
        <v>0.865925925925926</v>
      </c>
      <c r="I332" s="21" t="n">
        <f aca="false">VLOOKUP(B332,Targets!$A$2:$D$43,3,FALSE())</f>
        <v>0.92</v>
      </c>
      <c r="J332" s="22" t="n">
        <f aca="false">H332-I332</f>
        <v>-0.0540740740740742</v>
      </c>
      <c r="K332" s="2" t="str">
        <f aca="false">IF(J332&lt;-Targets!$F$2,"Under",IF(J332&gt;Targets!$F$2,"Over","On Track"))</f>
        <v>Under</v>
      </c>
    </row>
    <row r="333" customFormat="false" ht="15" hidden="false" customHeight="false" outlineLevel="0" collapsed="false">
      <c r="A333" s="17" t="n">
        <v>46235</v>
      </c>
      <c r="B333" s="18" t="s">
        <v>79</v>
      </c>
      <c r="C333" s="2" t="str">
        <f aca="false">VLOOKUP(B333,Targets!$A$2:$D$43,2,FALSE())</f>
        <v>North-East</v>
      </c>
      <c r="D333" s="19" t="n">
        <v>1250</v>
      </c>
      <c r="E333" s="19" t="n">
        <v>1077</v>
      </c>
      <c r="F333" s="20" t="n">
        <f aca="false">E333-D333</f>
        <v>-173</v>
      </c>
      <c r="G333" s="21" t="n">
        <f aca="false">IF(D333=0,0,F333/D333)</f>
        <v>-0.1384</v>
      </c>
      <c r="H333" s="21" t="n">
        <f aca="false">IF(D333=0,0,E333/D333)</f>
        <v>0.8616</v>
      </c>
      <c r="I333" s="21" t="n">
        <f aca="false">VLOOKUP(B333,Targets!$A$2:$D$43,3,FALSE())</f>
        <v>0.92</v>
      </c>
      <c r="J333" s="22" t="n">
        <f aca="false">H333-I333</f>
        <v>-0.0584</v>
      </c>
      <c r="K333" s="2" t="str">
        <f aca="false">IF(J333&lt;-Targets!$F$2,"Under",IF(J333&gt;Targets!$F$2,"Over","On Track"))</f>
        <v>Under</v>
      </c>
    </row>
    <row r="334" customFormat="false" ht="15" hidden="false" customHeight="false" outlineLevel="0" collapsed="false">
      <c r="A334" s="17" t="n">
        <v>46235</v>
      </c>
      <c r="B334" s="18" t="s">
        <v>80</v>
      </c>
      <c r="C334" s="2" t="str">
        <f aca="false">VLOOKUP(B334,Targets!$A$2:$D$43,2,FALSE())</f>
        <v>North-East</v>
      </c>
      <c r="D334" s="19" t="n">
        <v>2350</v>
      </c>
      <c r="E334" s="19" t="n">
        <v>1775</v>
      </c>
      <c r="F334" s="20" t="n">
        <f aca="false">E334-D334</f>
        <v>-575</v>
      </c>
      <c r="G334" s="21" t="n">
        <f aca="false">IF(D334=0,0,F334/D334)</f>
        <v>-0.24468085106383</v>
      </c>
      <c r="H334" s="21" t="n">
        <f aca="false">IF(D334=0,0,E334/D334)</f>
        <v>0.75531914893617</v>
      </c>
      <c r="I334" s="21" t="n">
        <f aca="false">VLOOKUP(B334,Targets!$A$2:$D$43,3,FALSE())</f>
        <v>0.88</v>
      </c>
      <c r="J334" s="22" t="n">
        <f aca="false">H334-I334</f>
        <v>-0.12468085106383</v>
      </c>
      <c r="K334" s="2" t="str">
        <f aca="false">IF(J334&lt;-Targets!$F$2,"Under",IF(J334&gt;Targets!$F$2,"Over","On Track"))</f>
        <v>Under</v>
      </c>
    </row>
    <row r="335" customFormat="false" ht="15" hidden="false" customHeight="false" outlineLevel="0" collapsed="false">
      <c r="A335" s="17" t="n">
        <v>46235</v>
      </c>
      <c r="B335" s="18" t="s">
        <v>81</v>
      </c>
      <c r="C335" s="2" t="str">
        <f aca="false">VLOOKUP(B335,Targets!$A$2:$D$43,2,FALSE())</f>
        <v>North-East</v>
      </c>
      <c r="D335" s="19" t="n">
        <v>1500</v>
      </c>
      <c r="E335" s="19" t="n">
        <v>1182</v>
      </c>
      <c r="F335" s="20" t="n">
        <f aca="false">E335-D335</f>
        <v>-318</v>
      </c>
      <c r="G335" s="21" t="n">
        <f aca="false">IF(D335=0,0,F335/D335)</f>
        <v>-0.212</v>
      </c>
      <c r="H335" s="21" t="n">
        <f aca="false">IF(D335=0,0,E335/D335)</f>
        <v>0.788</v>
      </c>
      <c r="I335" s="21" t="n">
        <f aca="false">VLOOKUP(B335,Targets!$A$2:$D$43,3,FALSE())</f>
        <v>0.88</v>
      </c>
      <c r="J335" s="22" t="n">
        <f aca="false">H335-I335</f>
        <v>-0.092</v>
      </c>
      <c r="K335" s="2" t="str">
        <f aca="false">IF(J335&lt;-Targets!$F$2,"Under",IF(J335&gt;Targets!$F$2,"Over","On Track"))</f>
        <v>Under</v>
      </c>
    </row>
    <row r="336" customFormat="false" ht="15" hidden="false" customHeight="false" outlineLevel="0" collapsed="false">
      <c r="A336" s="17" t="n">
        <v>46235</v>
      </c>
      <c r="B336" s="18" t="s">
        <v>82</v>
      </c>
      <c r="C336" s="2" t="str">
        <f aca="false">VLOOKUP(B336,Targets!$A$2:$D$43,2,FALSE())</f>
        <v>North-East</v>
      </c>
      <c r="D336" s="19" t="n">
        <v>900</v>
      </c>
      <c r="E336" s="19" t="n">
        <v>781</v>
      </c>
      <c r="F336" s="20" t="n">
        <f aca="false">E336-D336</f>
        <v>-119</v>
      </c>
      <c r="G336" s="21" t="n">
        <f aca="false">IF(D336=0,0,F336/D336)</f>
        <v>-0.132222222222222</v>
      </c>
      <c r="H336" s="21" t="n">
        <f aca="false">IF(D336=0,0,E336/D336)</f>
        <v>0.867777777777778</v>
      </c>
      <c r="I336" s="21" t="n">
        <f aca="false">VLOOKUP(B336,Targets!$A$2:$D$43,3,FALSE())</f>
        <v>0.85</v>
      </c>
      <c r="J336" s="22" t="n">
        <f aca="false">H336-I336</f>
        <v>0.0177777777777778</v>
      </c>
      <c r="K336" s="2" t="str">
        <f aca="false">IF(J336&lt;-Targets!$F$2,"Under",IF(J336&gt;Targets!$F$2,"Over","On Track"))</f>
        <v>On Track</v>
      </c>
    </row>
    <row r="337" customFormat="false" ht="15" hidden="false" customHeight="false" outlineLevel="0" collapsed="false">
      <c r="A337" s="17" t="n">
        <v>46235</v>
      </c>
      <c r="B337" s="18" t="s">
        <v>83</v>
      </c>
      <c r="C337" s="2" t="str">
        <f aca="false">VLOOKUP(B337,Targets!$A$2:$D$43,2,FALSE())</f>
        <v>North-East</v>
      </c>
      <c r="D337" s="19" t="n">
        <v>1300</v>
      </c>
      <c r="E337" s="19" t="n">
        <v>1101</v>
      </c>
      <c r="F337" s="20" t="n">
        <f aca="false">E337-D337</f>
        <v>-199</v>
      </c>
      <c r="G337" s="21" t="n">
        <f aca="false">IF(D337=0,0,F337/D337)</f>
        <v>-0.153076923076923</v>
      </c>
      <c r="H337" s="21" t="n">
        <f aca="false">IF(D337=0,0,E337/D337)</f>
        <v>0.846923076923077</v>
      </c>
      <c r="I337" s="21" t="n">
        <f aca="false">VLOOKUP(B337,Targets!$A$2:$D$43,3,FALSE())</f>
        <v>0.88</v>
      </c>
      <c r="J337" s="22" t="n">
        <f aca="false">H337-I337</f>
        <v>-0.0330769230769231</v>
      </c>
      <c r="K337" s="2" t="str">
        <f aca="false">IF(J337&lt;-Targets!$F$2,"Under",IF(J337&gt;Targets!$F$2,"Over","On Track"))</f>
        <v>On Track</v>
      </c>
    </row>
    <row r="338" customFormat="false" ht="15" hidden="false" customHeight="false" outlineLevel="0" collapsed="false">
      <c r="A338" s="17" t="n">
        <v>46266</v>
      </c>
      <c r="B338" s="18" t="s">
        <v>41</v>
      </c>
      <c r="C338" s="2" t="str">
        <f aca="false">VLOOKUP(B338,Targets!$A$2:$D$43,2,FALSE())</f>
        <v>North</v>
      </c>
      <c r="D338" s="19" t="n">
        <v>2780</v>
      </c>
      <c r="E338" s="19" t="n">
        <v>2533</v>
      </c>
      <c r="F338" s="20" t="n">
        <f aca="false">E338-D338</f>
        <v>-247</v>
      </c>
      <c r="G338" s="21" t="n">
        <f aca="false">IF(D338=0,0,F338/D338)</f>
        <v>-0.0888489208633094</v>
      </c>
      <c r="H338" s="21" t="n">
        <f aca="false">IF(D338=0,0,E338/D338)</f>
        <v>0.911151079136691</v>
      </c>
      <c r="I338" s="21" t="n">
        <f aca="false">VLOOKUP(B338,Targets!$A$2:$D$43,3,FALSE())</f>
        <v>0.88</v>
      </c>
      <c r="J338" s="22" t="n">
        <f aca="false">H338-I338</f>
        <v>0.0311510791366907</v>
      </c>
      <c r="K338" s="2" t="str">
        <f aca="false">IF(J338&lt;-Targets!$F$2,"Under",IF(J338&gt;Targets!$F$2,"Over","On Track"))</f>
        <v>On Track</v>
      </c>
    </row>
    <row r="339" customFormat="false" ht="15" hidden="false" customHeight="false" outlineLevel="0" collapsed="false">
      <c r="A339" s="17" t="n">
        <v>46266</v>
      </c>
      <c r="B339" s="18" t="s">
        <v>42</v>
      </c>
      <c r="C339" s="2" t="str">
        <f aca="false">VLOOKUP(B339,Targets!$A$2:$D$43,2,FALSE())</f>
        <v>North</v>
      </c>
      <c r="D339" s="19" t="n">
        <v>2360</v>
      </c>
      <c r="E339" s="19" t="n">
        <v>2042</v>
      </c>
      <c r="F339" s="20" t="n">
        <f aca="false">E339-D339</f>
        <v>-318</v>
      </c>
      <c r="G339" s="21" t="n">
        <f aca="false">IF(D339=0,0,F339/D339)</f>
        <v>-0.134745762711864</v>
      </c>
      <c r="H339" s="21" t="n">
        <f aca="false">IF(D339=0,0,E339/D339)</f>
        <v>0.865254237288136</v>
      </c>
      <c r="I339" s="21" t="n">
        <f aca="false">VLOOKUP(B339,Targets!$A$2:$D$43,3,FALSE())</f>
        <v>0.88</v>
      </c>
      <c r="J339" s="22" t="n">
        <f aca="false">H339-I339</f>
        <v>-0.0147457627118645</v>
      </c>
      <c r="K339" s="2" t="str">
        <f aca="false">IF(J339&lt;-Targets!$F$2,"Under",IF(J339&gt;Targets!$F$2,"Over","On Track"))</f>
        <v>On Track</v>
      </c>
    </row>
    <row r="340" customFormat="false" ht="15" hidden="false" customHeight="false" outlineLevel="0" collapsed="false">
      <c r="A340" s="17" t="n">
        <v>46266</v>
      </c>
      <c r="B340" s="18" t="s">
        <v>44</v>
      </c>
      <c r="C340" s="2" t="str">
        <f aca="false">VLOOKUP(B340,Targets!$A$2:$D$43,2,FALSE())</f>
        <v>North</v>
      </c>
      <c r="D340" s="19" t="n">
        <v>2620</v>
      </c>
      <c r="E340" s="19" t="n">
        <v>2403</v>
      </c>
      <c r="F340" s="20" t="n">
        <f aca="false">E340-D340</f>
        <v>-217</v>
      </c>
      <c r="G340" s="21" t="n">
        <f aca="false">IF(D340=0,0,F340/D340)</f>
        <v>-0.082824427480916</v>
      </c>
      <c r="H340" s="21" t="n">
        <f aca="false">IF(D340=0,0,E340/D340)</f>
        <v>0.917175572519084</v>
      </c>
      <c r="I340" s="21" t="n">
        <f aca="false">VLOOKUP(B340,Targets!$A$2:$D$43,3,FALSE())</f>
        <v>0.88</v>
      </c>
      <c r="J340" s="22" t="n">
        <f aca="false">H340-I340</f>
        <v>0.037175572519084</v>
      </c>
      <c r="K340" s="2" t="str">
        <f aca="false">IF(J340&lt;-Targets!$F$2,"Under",IF(J340&gt;Targets!$F$2,"Over","On Track"))</f>
        <v>On Track</v>
      </c>
    </row>
    <row r="341" customFormat="false" ht="15" hidden="false" customHeight="false" outlineLevel="0" collapsed="false">
      <c r="A341" s="17" t="n">
        <v>46266</v>
      </c>
      <c r="B341" s="18" t="s">
        <v>45</v>
      </c>
      <c r="C341" s="2" t="str">
        <f aca="false">VLOOKUP(B341,Targets!$A$2:$D$43,2,FALSE())</f>
        <v>North</v>
      </c>
      <c r="D341" s="19" t="n">
        <v>1160</v>
      </c>
      <c r="E341" s="19" t="n">
        <v>1096</v>
      </c>
      <c r="F341" s="20" t="n">
        <f aca="false">E341-D341</f>
        <v>-64</v>
      </c>
      <c r="G341" s="21" t="n">
        <f aca="false">IF(D341=0,0,F341/D341)</f>
        <v>-0.0551724137931035</v>
      </c>
      <c r="H341" s="21" t="n">
        <f aca="false">IF(D341=0,0,E341/D341)</f>
        <v>0.944827586206897</v>
      </c>
      <c r="I341" s="21" t="n">
        <f aca="false">VLOOKUP(B341,Targets!$A$2:$D$43,3,FALSE())</f>
        <v>0.88</v>
      </c>
      <c r="J341" s="22" t="n">
        <f aca="false">H341-I341</f>
        <v>0.0648275862068966</v>
      </c>
      <c r="K341" s="2" t="str">
        <f aca="false">IF(J341&lt;-Targets!$F$2,"Under",IF(J341&gt;Targets!$F$2,"Over","On Track"))</f>
        <v>Over</v>
      </c>
    </row>
    <row r="342" customFormat="false" ht="15" hidden="false" customHeight="false" outlineLevel="0" collapsed="false">
      <c r="A342" s="17" t="n">
        <v>46266</v>
      </c>
      <c r="B342" s="18" t="s">
        <v>46</v>
      </c>
      <c r="C342" s="2" t="str">
        <f aca="false">VLOOKUP(B342,Targets!$A$2:$D$43,2,FALSE())</f>
        <v>North</v>
      </c>
      <c r="D342" s="19" t="n">
        <v>2470</v>
      </c>
      <c r="E342" s="19" t="n">
        <v>2268</v>
      </c>
      <c r="F342" s="20" t="n">
        <f aca="false">E342-D342</f>
        <v>-202</v>
      </c>
      <c r="G342" s="21" t="n">
        <f aca="false">IF(D342=0,0,F342/D342)</f>
        <v>-0.0817813765182186</v>
      </c>
      <c r="H342" s="21" t="n">
        <f aca="false">IF(D342=0,0,E342/D342)</f>
        <v>0.918218623481781</v>
      </c>
      <c r="I342" s="21" t="n">
        <f aca="false">VLOOKUP(B342,Targets!$A$2:$D$43,3,FALSE())</f>
        <v>0.88</v>
      </c>
      <c r="J342" s="22" t="n">
        <f aca="false">H342-I342</f>
        <v>0.0382186234817814</v>
      </c>
      <c r="K342" s="2" t="str">
        <f aca="false">IF(J342&lt;-Targets!$F$2,"Under",IF(J342&gt;Targets!$F$2,"Over","On Track"))</f>
        <v>On Track</v>
      </c>
    </row>
    <row r="343" customFormat="false" ht="15" hidden="false" customHeight="false" outlineLevel="0" collapsed="false">
      <c r="A343" s="17" t="n">
        <v>46266</v>
      </c>
      <c r="B343" s="18" t="s">
        <v>47</v>
      </c>
      <c r="C343" s="2" t="str">
        <f aca="false">VLOOKUP(B343,Targets!$A$2:$D$43,2,FALSE())</f>
        <v>North</v>
      </c>
      <c r="D343" s="19" t="n">
        <v>3310</v>
      </c>
      <c r="E343" s="19" t="n">
        <v>2914</v>
      </c>
      <c r="F343" s="20" t="n">
        <f aca="false">E343-D343</f>
        <v>-396</v>
      </c>
      <c r="G343" s="21" t="n">
        <f aca="false">IF(D343=0,0,F343/D343)</f>
        <v>-0.11963746223565</v>
      </c>
      <c r="H343" s="21" t="n">
        <f aca="false">IF(D343=0,0,E343/D343)</f>
        <v>0.880362537764351</v>
      </c>
      <c r="I343" s="21" t="n">
        <f aca="false">VLOOKUP(B343,Targets!$A$2:$D$43,3,FALSE())</f>
        <v>0.9</v>
      </c>
      <c r="J343" s="22" t="n">
        <f aca="false">H343-I343</f>
        <v>-0.0196374622356496</v>
      </c>
      <c r="K343" s="2" t="str">
        <f aca="false">IF(J343&lt;-Targets!$F$2,"Under",IF(J343&gt;Targets!$F$2,"Over","On Track"))</f>
        <v>On Track</v>
      </c>
    </row>
    <row r="344" customFormat="false" ht="15" hidden="false" customHeight="false" outlineLevel="0" collapsed="false">
      <c r="A344" s="17" t="n">
        <v>46266</v>
      </c>
      <c r="B344" s="18" t="s">
        <v>48</v>
      </c>
      <c r="C344" s="2" t="str">
        <f aca="false">VLOOKUP(B344,Targets!$A$2:$D$43,2,FALSE())</f>
        <v>North</v>
      </c>
      <c r="D344" s="19" t="n">
        <v>1940</v>
      </c>
      <c r="E344" s="19" t="n">
        <v>1678</v>
      </c>
      <c r="F344" s="20" t="n">
        <f aca="false">E344-D344</f>
        <v>-262</v>
      </c>
      <c r="G344" s="21" t="n">
        <f aca="false">IF(D344=0,0,F344/D344)</f>
        <v>-0.135051546391753</v>
      </c>
      <c r="H344" s="21" t="n">
        <f aca="false">IF(D344=0,0,E344/D344)</f>
        <v>0.864948453608248</v>
      </c>
      <c r="I344" s="21" t="n">
        <f aca="false">VLOOKUP(B344,Targets!$A$2:$D$43,3,FALSE())</f>
        <v>0.85</v>
      </c>
      <c r="J344" s="22" t="n">
        <f aca="false">H344-I344</f>
        <v>0.0149484536082475</v>
      </c>
      <c r="K344" s="2" t="str">
        <f aca="false">IF(J344&lt;-Targets!$F$2,"Under",IF(J344&gt;Targets!$F$2,"Over","On Track"))</f>
        <v>On Track</v>
      </c>
    </row>
    <row r="345" customFormat="false" ht="15" hidden="false" customHeight="false" outlineLevel="0" collapsed="false">
      <c r="A345" s="17" t="n">
        <v>46266</v>
      </c>
      <c r="B345" s="18" t="s">
        <v>49</v>
      </c>
      <c r="C345" s="2" t="str">
        <f aca="false">VLOOKUP(B345,Targets!$A$2:$D$43,2,FALSE())</f>
        <v>South</v>
      </c>
      <c r="D345" s="19" t="n">
        <v>1210</v>
      </c>
      <c r="E345" s="19" t="n">
        <v>952</v>
      </c>
      <c r="F345" s="20" t="n">
        <f aca="false">E345-D345</f>
        <v>-258</v>
      </c>
      <c r="G345" s="21" t="n">
        <f aca="false">IF(D345=0,0,F345/D345)</f>
        <v>-0.213223140495868</v>
      </c>
      <c r="H345" s="21" t="n">
        <f aca="false">IF(D345=0,0,E345/D345)</f>
        <v>0.786776859504132</v>
      </c>
      <c r="I345" s="21" t="n">
        <f aca="false">VLOOKUP(B345,Targets!$A$2:$D$43,3,FALSE())</f>
        <v>0.92</v>
      </c>
      <c r="J345" s="22" t="n">
        <f aca="false">H345-I345</f>
        <v>-0.133223140495868</v>
      </c>
      <c r="K345" s="2" t="str">
        <f aca="false">IF(J345&lt;-Targets!$F$2,"Under",IF(J345&gt;Targets!$F$2,"Over","On Track"))</f>
        <v>Under</v>
      </c>
    </row>
    <row r="346" customFormat="false" ht="15" hidden="false" customHeight="false" outlineLevel="0" collapsed="false">
      <c r="A346" s="17" t="n">
        <v>46266</v>
      </c>
      <c r="B346" s="18" t="s">
        <v>50</v>
      </c>
      <c r="C346" s="2" t="str">
        <f aca="false">VLOOKUP(B346,Targets!$A$2:$D$43,2,FALSE())</f>
        <v>South</v>
      </c>
      <c r="D346" s="19" t="n">
        <v>3260</v>
      </c>
      <c r="E346" s="19" t="n">
        <v>2593</v>
      </c>
      <c r="F346" s="20" t="n">
        <f aca="false">E346-D346</f>
        <v>-667</v>
      </c>
      <c r="G346" s="21" t="n">
        <f aca="false">IF(D346=0,0,F346/D346)</f>
        <v>-0.204601226993865</v>
      </c>
      <c r="H346" s="21" t="n">
        <f aca="false">IF(D346=0,0,E346/D346)</f>
        <v>0.795398773006135</v>
      </c>
      <c r="I346" s="21" t="n">
        <f aca="false">VLOOKUP(B346,Targets!$A$2:$D$43,3,FALSE())</f>
        <v>0.9</v>
      </c>
      <c r="J346" s="22" t="n">
        <f aca="false">H346-I346</f>
        <v>-0.104601226993865</v>
      </c>
      <c r="K346" s="2" t="str">
        <f aca="false">IF(J346&lt;-Targets!$F$2,"Under",IF(J346&gt;Targets!$F$2,"Over","On Track"))</f>
        <v>Under</v>
      </c>
    </row>
    <row r="347" customFormat="false" ht="15" hidden="false" customHeight="false" outlineLevel="0" collapsed="false">
      <c r="A347" s="17" t="n">
        <v>46266</v>
      </c>
      <c r="B347" s="18" t="s">
        <v>51</v>
      </c>
      <c r="C347" s="2" t="str">
        <f aca="false">VLOOKUP(B347,Targets!$A$2:$D$43,2,FALSE())</f>
        <v>South</v>
      </c>
      <c r="D347" s="19" t="n">
        <v>2570</v>
      </c>
      <c r="E347" s="19" t="n">
        <v>2210</v>
      </c>
      <c r="F347" s="20" t="n">
        <f aca="false">E347-D347</f>
        <v>-360</v>
      </c>
      <c r="G347" s="21" t="n">
        <f aca="false">IF(D347=0,0,F347/D347)</f>
        <v>-0.140077821011673</v>
      </c>
      <c r="H347" s="21" t="n">
        <f aca="false">IF(D347=0,0,E347/D347)</f>
        <v>0.859922178988327</v>
      </c>
      <c r="I347" s="21" t="n">
        <f aca="false">VLOOKUP(B347,Targets!$A$2:$D$43,3,FALSE())</f>
        <v>0.92</v>
      </c>
      <c r="J347" s="22" t="n">
        <f aca="false">H347-I347</f>
        <v>-0.0600778210116731</v>
      </c>
      <c r="K347" s="2" t="str">
        <f aca="false">IF(J347&lt;-Targets!$F$2,"Under",IF(J347&gt;Targets!$F$2,"Over","On Track"))</f>
        <v>Under</v>
      </c>
    </row>
    <row r="348" customFormat="false" ht="15" hidden="false" customHeight="false" outlineLevel="0" collapsed="false">
      <c r="A348" s="17" t="n">
        <v>46266</v>
      </c>
      <c r="B348" s="18" t="s">
        <v>52</v>
      </c>
      <c r="C348" s="2" t="str">
        <f aca="false">VLOOKUP(B348,Targets!$A$2:$D$43,2,FALSE())</f>
        <v>South</v>
      </c>
      <c r="D348" s="19" t="n">
        <v>1420</v>
      </c>
      <c r="E348" s="19" t="n">
        <v>1142</v>
      </c>
      <c r="F348" s="20" t="n">
        <f aca="false">E348-D348</f>
        <v>-278</v>
      </c>
      <c r="G348" s="21" t="n">
        <f aca="false">IF(D348=0,0,F348/D348)</f>
        <v>-0.195774647887324</v>
      </c>
      <c r="H348" s="21" t="n">
        <f aca="false">IF(D348=0,0,E348/D348)</f>
        <v>0.804225352112676</v>
      </c>
      <c r="I348" s="21" t="n">
        <f aca="false">VLOOKUP(B348,Targets!$A$2:$D$43,3,FALSE())</f>
        <v>0.92</v>
      </c>
      <c r="J348" s="22" t="n">
        <f aca="false">H348-I348</f>
        <v>-0.115774647887324</v>
      </c>
      <c r="K348" s="2" t="str">
        <f aca="false">IF(J348&lt;-Targets!$F$2,"Under",IF(J348&gt;Targets!$F$2,"Over","On Track"))</f>
        <v>Under</v>
      </c>
    </row>
    <row r="349" customFormat="false" ht="15" hidden="false" customHeight="false" outlineLevel="0" collapsed="false">
      <c r="A349" s="17" t="n">
        <v>46266</v>
      </c>
      <c r="B349" s="18" t="s">
        <v>53</v>
      </c>
      <c r="C349" s="2" t="str">
        <f aca="false">VLOOKUP(B349,Targets!$A$2:$D$43,2,FALSE())</f>
        <v>South</v>
      </c>
      <c r="D349" s="19" t="n">
        <v>2520</v>
      </c>
      <c r="E349" s="19" t="n">
        <v>2064</v>
      </c>
      <c r="F349" s="20" t="n">
        <f aca="false">E349-D349</f>
        <v>-456</v>
      </c>
      <c r="G349" s="21" t="n">
        <f aca="false">IF(D349=0,0,F349/D349)</f>
        <v>-0.180952380952381</v>
      </c>
      <c r="H349" s="21" t="n">
        <f aca="false">IF(D349=0,0,E349/D349)</f>
        <v>0.819047619047619</v>
      </c>
      <c r="I349" s="21" t="n">
        <f aca="false">VLOOKUP(B349,Targets!$A$2:$D$43,3,FALSE())</f>
        <v>0.92</v>
      </c>
      <c r="J349" s="22" t="n">
        <f aca="false">H349-I349</f>
        <v>-0.100952380952381</v>
      </c>
      <c r="K349" s="2" t="str">
        <f aca="false">IF(J349&lt;-Targets!$F$2,"Under",IF(J349&gt;Targets!$F$2,"Over","On Track"))</f>
        <v>Under</v>
      </c>
    </row>
    <row r="350" customFormat="false" ht="15" hidden="false" customHeight="false" outlineLevel="0" collapsed="false">
      <c r="A350" s="17" t="n">
        <v>46266</v>
      </c>
      <c r="B350" s="18" t="s">
        <v>54</v>
      </c>
      <c r="C350" s="2" t="str">
        <f aca="false">VLOOKUP(B350,Targets!$A$2:$D$43,2,FALSE())</f>
        <v>South</v>
      </c>
      <c r="D350" s="19" t="n">
        <v>3310</v>
      </c>
      <c r="E350" s="19" t="n">
        <v>2919</v>
      </c>
      <c r="F350" s="20" t="n">
        <f aca="false">E350-D350</f>
        <v>-391</v>
      </c>
      <c r="G350" s="21" t="n">
        <f aca="false">IF(D350=0,0,F350/D350)</f>
        <v>-0.118126888217523</v>
      </c>
      <c r="H350" s="21" t="n">
        <f aca="false">IF(D350=0,0,E350/D350)</f>
        <v>0.881873111782477</v>
      </c>
      <c r="I350" s="21" t="n">
        <f aca="false">VLOOKUP(B350,Targets!$A$2:$D$43,3,FALSE())</f>
        <v>0.9</v>
      </c>
      <c r="J350" s="22" t="n">
        <f aca="false">H350-I350</f>
        <v>-0.0181268882175227</v>
      </c>
      <c r="K350" s="2" t="str">
        <f aca="false">IF(J350&lt;-Targets!$F$2,"Under",IF(J350&gt;Targets!$F$2,"Over","On Track"))</f>
        <v>On Track</v>
      </c>
    </row>
    <row r="351" customFormat="false" ht="15" hidden="false" customHeight="false" outlineLevel="0" collapsed="false">
      <c r="A351" s="17" t="n">
        <v>46266</v>
      </c>
      <c r="B351" s="18" t="s">
        <v>55</v>
      </c>
      <c r="C351" s="2" t="str">
        <f aca="false">VLOOKUP(B351,Targets!$A$2:$D$43,2,FALSE())</f>
        <v>South</v>
      </c>
      <c r="D351" s="19" t="n">
        <v>1420</v>
      </c>
      <c r="E351" s="19" t="n">
        <v>1168</v>
      </c>
      <c r="F351" s="20" t="n">
        <f aca="false">E351-D351</f>
        <v>-252</v>
      </c>
      <c r="G351" s="21" t="n">
        <f aca="false">IF(D351=0,0,F351/D351)</f>
        <v>-0.177464788732394</v>
      </c>
      <c r="H351" s="21" t="n">
        <f aca="false">IF(D351=0,0,E351/D351)</f>
        <v>0.822535211267606</v>
      </c>
      <c r="I351" s="21" t="n">
        <f aca="false">VLOOKUP(B351,Targets!$A$2:$D$43,3,FALSE())</f>
        <v>0.92</v>
      </c>
      <c r="J351" s="22" t="n">
        <f aca="false">H351-I351</f>
        <v>-0.0974647887323944</v>
      </c>
      <c r="K351" s="2" t="str">
        <f aca="false">IF(J351&lt;-Targets!$F$2,"Under",IF(J351&gt;Targets!$F$2,"Over","On Track"))</f>
        <v>Under</v>
      </c>
    </row>
    <row r="352" customFormat="false" ht="15" hidden="false" customHeight="false" outlineLevel="0" collapsed="false">
      <c r="A352" s="17" t="n">
        <v>46266</v>
      </c>
      <c r="B352" s="18" t="s">
        <v>56</v>
      </c>
      <c r="C352" s="2" t="str">
        <f aca="false">VLOOKUP(B352,Targets!$A$2:$D$43,2,FALSE())</f>
        <v>East</v>
      </c>
      <c r="D352" s="19" t="n">
        <v>2990</v>
      </c>
      <c r="E352" s="19" t="n">
        <v>2807</v>
      </c>
      <c r="F352" s="20" t="n">
        <f aca="false">E352-D352</f>
        <v>-183</v>
      </c>
      <c r="G352" s="21" t="n">
        <f aca="false">IF(D352=0,0,F352/D352)</f>
        <v>-0.0612040133779264</v>
      </c>
      <c r="H352" s="21" t="n">
        <f aca="false">IF(D352=0,0,E352/D352)</f>
        <v>0.938795986622074</v>
      </c>
      <c r="I352" s="21" t="n">
        <f aca="false">VLOOKUP(B352,Targets!$A$2:$D$43,3,FALSE())</f>
        <v>0.92</v>
      </c>
      <c r="J352" s="22" t="n">
        <f aca="false">H352-I352</f>
        <v>0.0187959866220735</v>
      </c>
      <c r="K352" s="2" t="str">
        <f aca="false">IF(J352&lt;-Targets!$F$2,"Under",IF(J352&gt;Targets!$F$2,"Over","On Track"))</f>
        <v>On Track</v>
      </c>
    </row>
    <row r="353" customFormat="false" ht="15" hidden="false" customHeight="false" outlineLevel="0" collapsed="false">
      <c r="A353" s="17" t="n">
        <v>46266</v>
      </c>
      <c r="B353" s="18" t="s">
        <v>57</v>
      </c>
      <c r="C353" s="2" t="str">
        <f aca="false">VLOOKUP(B353,Targets!$A$2:$D$43,2,FALSE())</f>
        <v>East</v>
      </c>
      <c r="D353" s="19" t="n">
        <v>2620</v>
      </c>
      <c r="E353" s="19" t="n">
        <v>2216</v>
      </c>
      <c r="F353" s="20" t="n">
        <f aca="false">E353-D353</f>
        <v>-404</v>
      </c>
      <c r="G353" s="21" t="n">
        <f aca="false">IF(D353=0,0,F353/D353)</f>
        <v>-0.154198473282443</v>
      </c>
      <c r="H353" s="21" t="n">
        <f aca="false">IF(D353=0,0,E353/D353)</f>
        <v>0.845801526717557</v>
      </c>
      <c r="I353" s="21" t="n">
        <f aca="false">VLOOKUP(B353,Targets!$A$2:$D$43,3,FALSE())</f>
        <v>0.88</v>
      </c>
      <c r="J353" s="22" t="n">
        <f aca="false">H353-I353</f>
        <v>-0.0341984732824427</v>
      </c>
      <c r="K353" s="2" t="str">
        <f aca="false">IF(J353&lt;-Targets!$F$2,"Under",IF(J353&gt;Targets!$F$2,"Over","On Track"))</f>
        <v>On Track</v>
      </c>
    </row>
    <row r="354" customFormat="false" ht="15" hidden="false" customHeight="false" outlineLevel="0" collapsed="false">
      <c r="A354" s="17" t="n">
        <v>46266</v>
      </c>
      <c r="B354" s="18" t="s">
        <v>58</v>
      </c>
      <c r="C354" s="2" t="str">
        <f aca="false">VLOOKUP(B354,Targets!$A$2:$D$43,2,FALSE())</f>
        <v>East</v>
      </c>
      <c r="D354" s="19" t="n">
        <v>1470</v>
      </c>
      <c r="E354" s="19" t="n">
        <v>1241</v>
      </c>
      <c r="F354" s="20" t="n">
        <f aca="false">E354-D354</f>
        <v>-229</v>
      </c>
      <c r="G354" s="21" t="n">
        <f aca="false">IF(D354=0,0,F354/D354)</f>
        <v>-0.15578231292517</v>
      </c>
      <c r="H354" s="21" t="n">
        <f aca="false">IF(D354=0,0,E354/D354)</f>
        <v>0.84421768707483</v>
      </c>
      <c r="I354" s="21" t="n">
        <f aca="false">VLOOKUP(B354,Targets!$A$2:$D$43,3,FALSE())</f>
        <v>0.92</v>
      </c>
      <c r="J354" s="22" t="n">
        <f aca="false">H354-I354</f>
        <v>-0.0757823129251701</v>
      </c>
      <c r="K354" s="2" t="str">
        <f aca="false">IF(J354&lt;-Targets!$F$2,"Under",IF(J354&gt;Targets!$F$2,"Over","On Track"))</f>
        <v>Under</v>
      </c>
    </row>
    <row r="355" customFormat="false" ht="15" hidden="false" customHeight="false" outlineLevel="0" collapsed="false">
      <c r="A355" s="17" t="n">
        <v>46266</v>
      </c>
      <c r="B355" s="18" t="s">
        <v>59</v>
      </c>
      <c r="C355" s="2" t="str">
        <f aca="false">VLOOKUP(B355,Targets!$A$2:$D$43,2,FALSE())</f>
        <v>East</v>
      </c>
      <c r="D355" s="19" t="n">
        <v>1360</v>
      </c>
      <c r="E355" s="19" t="n">
        <v>1171</v>
      </c>
      <c r="F355" s="20" t="n">
        <f aca="false">E355-D355</f>
        <v>-189</v>
      </c>
      <c r="G355" s="21" t="n">
        <f aca="false">IF(D355=0,0,F355/D355)</f>
        <v>-0.138970588235294</v>
      </c>
      <c r="H355" s="21" t="n">
        <f aca="false">IF(D355=0,0,E355/D355)</f>
        <v>0.861029411764706</v>
      </c>
      <c r="I355" s="21" t="n">
        <f aca="false">VLOOKUP(B355,Targets!$A$2:$D$43,3,FALSE())</f>
        <v>0.88</v>
      </c>
      <c r="J355" s="22" t="n">
        <f aca="false">H355-I355</f>
        <v>-0.0189705882352941</v>
      </c>
      <c r="K355" s="2" t="str">
        <f aca="false">IF(J355&lt;-Targets!$F$2,"Under",IF(J355&gt;Targets!$F$2,"Over","On Track"))</f>
        <v>On Track</v>
      </c>
    </row>
    <row r="356" customFormat="false" ht="15" hidden="false" customHeight="false" outlineLevel="0" collapsed="false">
      <c r="A356" s="17" t="n">
        <v>46266</v>
      </c>
      <c r="B356" s="18" t="s">
        <v>60</v>
      </c>
      <c r="C356" s="2" t="str">
        <f aca="false">VLOOKUP(B356,Targets!$A$2:$D$43,2,FALSE())</f>
        <v>East</v>
      </c>
      <c r="D356" s="19" t="n">
        <v>3200</v>
      </c>
      <c r="E356" s="19" t="n">
        <v>2697</v>
      </c>
      <c r="F356" s="20" t="n">
        <f aca="false">E356-D356</f>
        <v>-503</v>
      </c>
      <c r="G356" s="21" t="n">
        <f aca="false">IF(D356=0,0,F356/D356)</f>
        <v>-0.1571875</v>
      </c>
      <c r="H356" s="21" t="n">
        <f aca="false">IF(D356=0,0,E356/D356)</f>
        <v>0.8428125</v>
      </c>
      <c r="I356" s="21" t="n">
        <f aca="false">VLOOKUP(B356,Targets!$A$2:$D$43,3,FALSE())</f>
        <v>0.88</v>
      </c>
      <c r="J356" s="22" t="n">
        <f aca="false">H356-I356</f>
        <v>-0.0371875</v>
      </c>
      <c r="K356" s="2" t="str">
        <f aca="false">IF(J356&lt;-Targets!$F$2,"Under",IF(J356&gt;Targets!$F$2,"Over","On Track"))</f>
        <v>On Track</v>
      </c>
    </row>
    <row r="357" customFormat="false" ht="15" hidden="false" customHeight="false" outlineLevel="0" collapsed="false">
      <c r="A357" s="17" t="n">
        <v>46266</v>
      </c>
      <c r="B357" s="18" t="s">
        <v>61</v>
      </c>
      <c r="C357" s="2" t="str">
        <f aca="false">VLOOKUP(B357,Targets!$A$2:$D$43,2,FALSE())</f>
        <v>East</v>
      </c>
      <c r="D357" s="19" t="n">
        <v>1730</v>
      </c>
      <c r="E357" s="19" t="n">
        <v>1316</v>
      </c>
      <c r="F357" s="20" t="n">
        <f aca="false">E357-D357</f>
        <v>-414</v>
      </c>
      <c r="G357" s="21" t="n">
        <f aca="false">IF(D357=0,0,F357/D357)</f>
        <v>-0.239306358381503</v>
      </c>
      <c r="H357" s="21" t="n">
        <f aca="false">IF(D357=0,0,E357/D357)</f>
        <v>0.760693641618497</v>
      </c>
      <c r="I357" s="21" t="n">
        <f aca="false">VLOOKUP(B357,Targets!$A$2:$D$43,3,FALSE())</f>
        <v>0.88</v>
      </c>
      <c r="J357" s="22" t="n">
        <f aca="false">H357-I357</f>
        <v>-0.119306358381503</v>
      </c>
      <c r="K357" s="2" t="str">
        <f aca="false">IF(J357&lt;-Targets!$F$2,"Under",IF(J357&gt;Targets!$F$2,"Over","On Track"))</f>
        <v>Under</v>
      </c>
    </row>
    <row r="358" customFormat="false" ht="15" hidden="false" customHeight="false" outlineLevel="0" collapsed="false">
      <c r="A358" s="17" t="n">
        <v>46266</v>
      </c>
      <c r="B358" s="18" t="s">
        <v>62</v>
      </c>
      <c r="C358" s="2" t="str">
        <f aca="false">VLOOKUP(B358,Targets!$A$2:$D$43,2,FALSE())</f>
        <v>East</v>
      </c>
      <c r="D358" s="19" t="n">
        <v>2000</v>
      </c>
      <c r="E358" s="19" t="n">
        <v>1682</v>
      </c>
      <c r="F358" s="20" t="n">
        <f aca="false">E358-D358</f>
        <v>-318</v>
      </c>
      <c r="G358" s="21" t="n">
        <f aca="false">IF(D358=0,0,F358/D358)</f>
        <v>-0.159</v>
      </c>
      <c r="H358" s="21" t="n">
        <f aca="false">IF(D358=0,0,E358/D358)</f>
        <v>0.841</v>
      </c>
      <c r="I358" s="21" t="n">
        <f aca="false">VLOOKUP(B358,Targets!$A$2:$D$43,3,FALSE())</f>
        <v>0.92</v>
      </c>
      <c r="J358" s="22" t="n">
        <f aca="false">H358-I358</f>
        <v>-0.0790000000000001</v>
      </c>
      <c r="K358" s="2" t="str">
        <f aca="false">IF(J358&lt;-Targets!$F$2,"Under",IF(J358&gt;Targets!$F$2,"Over","On Track"))</f>
        <v>Under</v>
      </c>
    </row>
    <row r="359" customFormat="false" ht="15" hidden="false" customHeight="false" outlineLevel="0" collapsed="false">
      <c r="A359" s="17" t="n">
        <v>46266</v>
      </c>
      <c r="B359" s="18" t="s">
        <v>63</v>
      </c>
      <c r="C359" s="2" t="str">
        <f aca="false">VLOOKUP(B359,Targets!$A$2:$D$43,2,FALSE())</f>
        <v>West</v>
      </c>
      <c r="D359" s="19" t="n">
        <v>2520</v>
      </c>
      <c r="E359" s="19" t="n">
        <v>2192</v>
      </c>
      <c r="F359" s="20" t="n">
        <f aca="false">E359-D359</f>
        <v>-328</v>
      </c>
      <c r="G359" s="21" t="n">
        <f aca="false">IF(D359=0,0,F359/D359)</f>
        <v>-0.13015873015873</v>
      </c>
      <c r="H359" s="21" t="n">
        <f aca="false">IF(D359=0,0,E359/D359)</f>
        <v>0.86984126984127</v>
      </c>
      <c r="I359" s="21" t="n">
        <f aca="false">VLOOKUP(B359,Targets!$A$2:$D$43,3,FALSE())</f>
        <v>0.85</v>
      </c>
      <c r="J359" s="22" t="n">
        <f aca="false">H359-I359</f>
        <v>0.0198412698412699</v>
      </c>
      <c r="K359" s="2" t="str">
        <f aca="false">IF(J359&lt;-Targets!$F$2,"Under",IF(J359&gt;Targets!$F$2,"Over","On Track"))</f>
        <v>On Track</v>
      </c>
    </row>
    <row r="360" customFormat="false" ht="15" hidden="false" customHeight="false" outlineLevel="0" collapsed="false">
      <c r="A360" s="17" t="n">
        <v>46266</v>
      </c>
      <c r="B360" s="18" t="s">
        <v>64</v>
      </c>
      <c r="C360" s="2" t="str">
        <f aca="false">VLOOKUP(B360,Targets!$A$2:$D$43,2,FALSE())</f>
        <v>West</v>
      </c>
      <c r="D360" s="19" t="n">
        <v>2000</v>
      </c>
      <c r="E360" s="19" t="n">
        <v>2068</v>
      </c>
      <c r="F360" s="20" t="n">
        <f aca="false">E360-D360</f>
        <v>68</v>
      </c>
      <c r="G360" s="21" t="n">
        <f aca="false">IF(D360=0,0,F360/D360)</f>
        <v>0.034</v>
      </c>
      <c r="H360" s="21" t="n">
        <f aca="false">IF(D360=0,0,E360/D360)</f>
        <v>1.034</v>
      </c>
      <c r="I360" s="21" t="n">
        <f aca="false">VLOOKUP(B360,Targets!$A$2:$D$43,3,FALSE())</f>
        <v>0.92</v>
      </c>
      <c r="J360" s="22" t="n">
        <f aca="false">H360-I360</f>
        <v>0.114</v>
      </c>
      <c r="K360" s="2" t="str">
        <f aca="false">IF(J360&lt;-Targets!$F$2,"Under",IF(J360&gt;Targets!$F$2,"Over","On Track"))</f>
        <v>Over</v>
      </c>
    </row>
    <row r="361" customFormat="false" ht="15" hidden="false" customHeight="false" outlineLevel="0" collapsed="false">
      <c r="A361" s="17" t="n">
        <v>46266</v>
      </c>
      <c r="B361" s="18" t="s">
        <v>65</v>
      </c>
      <c r="C361" s="2" t="str">
        <f aca="false">VLOOKUP(B361,Targets!$A$2:$D$43,2,FALSE())</f>
        <v>West</v>
      </c>
      <c r="D361" s="19" t="n">
        <v>940</v>
      </c>
      <c r="E361" s="19" t="n">
        <v>876</v>
      </c>
      <c r="F361" s="20" t="n">
        <f aca="false">E361-D361</f>
        <v>-64</v>
      </c>
      <c r="G361" s="21" t="n">
        <f aca="false">IF(D361=0,0,F361/D361)</f>
        <v>-0.0680851063829787</v>
      </c>
      <c r="H361" s="21" t="n">
        <f aca="false">IF(D361=0,0,E361/D361)</f>
        <v>0.931914893617021</v>
      </c>
      <c r="I361" s="21" t="n">
        <f aca="false">VLOOKUP(B361,Targets!$A$2:$D$43,3,FALSE())</f>
        <v>0.92</v>
      </c>
      <c r="J361" s="22" t="n">
        <f aca="false">H361-I361</f>
        <v>0.0119148936170213</v>
      </c>
      <c r="K361" s="2" t="str">
        <f aca="false">IF(J361&lt;-Targets!$F$2,"Under",IF(J361&gt;Targets!$F$2,"Over","On Track"))</f>
        <v>On Track</v>
      </c>
    </row>
    <row r="362" customFormat="false" ht="15" hidden="false" customHeight="false" outlineLevel="0" collapsed="false">
      <c r="A362" s="17" t="n">
        <v>46266</v>
      </c>
      <c r="B362" s="18" t="s">
        <v>66</v>
      </c>
      <c r="C362" s="2" t="str">
        <f aca="false">VLOOKUP(B362,Targets!$A$2:$D$43,2,FALSE())</f>
        <v>West</v>
      </c>
      <c r="D362" s="19" t="n">
        <v>1520</v>
      </c>
      <c r="E362" s="19" t="n">
        <v>1458</v>
      </c>
      <c r="F362" s="20" t="n">
        <f aca="false">E362-D362</f>
        <v>-62</v>
      </c>
      <c r="G362" s="21" t="n">
        <f aca="false">IF(D362=0,0,F362/D362)</f>
        <v>-0.0407894736842105</v>
      </c>
      <c r="H362" s="21" t="n">
        <f aca="false">IF(D362=0,0,E362/D362)</f>
        <v>0.95921052631579</v>
      </c>
      <c r="I362" s="21" t="n">
        <f aca="false">VLOOKUP(B362,Targets!$A$2:$D$43,3,FALSE())</f>
        <v>0.92</v>
      </c>
      <c r="J362" s="22" t="n">
        <f aca="false">H362-I362</f>
        <v>0.0392105263157895</v>
      </c>
      <c r="K362" s="2" t="str">
        <f aca="false">IF(J362&lt;-Targets!$F$2,"Under",IF(J362&gt;Targets!$F$2,"Over","On Track"))</f>
        <v>On Track</v>
      </c>
    </row>
    <row r="363" customFormat="false" ht="15" hidden="false" customHeight="false" outlineLevel="0" collapsed="false">
      <c r="A363" s="17" t="n">
        <v>46266</v>
      </c>
      <c r="B363" s="18" t="s">
        <v>67</v>
      </c>
      <c r="C363" s="2" t="str">
        <f aca="false">VLOOKUP(B363,Targets!$A$2:$D$43,2,FALSE())</f>
        <v>West</v>
      </c>
      <c r="D363" s="19" t="n">
        <v>2050</v>
      </c>
      <c r="E363" s="19" t="n">
        <v>2034</v>
      </c>
      <c r="F363" s="20" t="n">
        <f aca="false">E363-D363</f>
        <v>-16</v>
      </c>
      <c r="G363" s="21" t="n">
        <f aca="false">IF(D363=0,0,F363/D363)</f>
        <v>-0.00780487804878049</v>
      </c>
      <c r="H363" s="21" t="n">
        <f aca="false">IF(D363=0,0,E363/D363)</f>
        <v>0.99219512195122</v>
      </c>
      <c r="I363" s="21" t="n">
        <f aca="false">VLOOKUP(B363,Targets!$A$2:$D$43,3,FALSE())</f>
        <v>0.92</v>
      </c>
      <c r="J363" s="22" t="n">
        <f aca="false">H363-I363</f>
        <v>0.0721951219512195</v>
      </c>
      <c r="K363" s="2" t="str">
        <f aca="false">IF(J363&lt;-Targets!$F$2,"Under",IF(J363&gt;Targets!$F$2,"Over","On Track"))</f>
        <v>Over</v>
      </c>
    </row>
    <row r="364" customFormat="false" ht="15" hidden="false" customHeight="false" outlineLevel="0" collapsed="false">
      <c r="A364" s="17" t="n">
        <v>46266</v>
      </c>
      <c r="B364" s="18" t="s">
        <v>68</v>
      </c>
      <c r="C364" s="2" t="str">
        <f aca="false">VLOOKUP(B364,Targets!$A$2:$D$43,2,FALSE())</f>
        <v>West</v>
      </c>
      <c r="D364" s="19" t="n">
        <v>2780</v>
      </c>
      <c r="E364" s="19" t="n">
        <v>2655</v>
      </c>
      <c r="F364" s="20" t="n">
        <f aca="false">E364-D364</f>
        <v>-125</v>
      </c>
      <c r="G364" s="21" t="n">
        <f aca="false">IF(D364=0,0,F364/D364)</f>
        <v>-0.0449640287769784</v>
      </c>
      <c r="H364" s="21" t="n">
        <f aca="false">IF(D364=0,0,E364/D364)</f>
        <v>0.955035971223022</v>
      </c>
      <c r="I364" s="21" t="n">
        <f aca="false">VLOOKUP(B364,Targets!$A$2:$D$43,3,FALSE())</f>
        <v>0.9</v>
      </c>
      <c r="J364" s="22" t="n">
        <f aca="false">H364-I364</f>
        <v>0.0550359712230215</v>
      </c>
      <c r="K364" s="2" t="str">
        <f aca="false">IF(J364&lt;-Targets!$F$2,"Under",IF(J364&gt;Targets!$F$2,"Over","On Track"))</f>
        <v>Over</v>
      </c>
    </row>
    <row r="365" customFormat="false" ht="15" hidden="false" customHeight="false" outlineLevel="0" collapsed="false">
      <c r="A365" s="17" t="n">
        <v>46266</v>
      </c>
      <c r="B365" s="18" t="s">
        <v>69</v>
      </c>
      <c r="C365" s="2" t="str">
        <f aca="false">VLOOKUP(B365,Targets!$A$2:$D$43,2,FALSE())</f>
        <v>West</v>
      </c>
      <c r="D365" s="19" t="n">
        <v>2360</v>
      </c>
      <c r="E365" s="19" t="n">
        <v>2228</v>
      </c>
      <c r="F365" s="20" t="n">
        <f aca="false">E365-D365</f>
        <v>-132</v>
      </c>
      <c r="G365" s="21" t="n">
        <f aca="false">IF(D365=0,0,F365/D365)</f>
        <v>-0.0559322033898305</v>
      </c>
      <c r="H365" s="21" t="n">
        <f aca="false">IF(D365=0,0,E365/D365)</f>
        <v>0.94406779661017</v>
      </c>
      <c r="I365" s="21" t="n">
        <f aca="false">VLOOKUP(B365,Targets!$A$2:$D$43,3,FALSE())</f>
        <v>0.92</v>
      </c>
      <c r="J365" s="22" t="n">
        <f aca="false">H365-I365</f>
        <v>0.0240677966101694</v>
      </c>
      <c r="K365" s="2" t="str">
        <f aca="false">IF(J365&lt;-Targets!$F$2,"Under",IF(J365&gt;Targets!$F$2,"Over","On Track"))</f>
        <v>On Track</v>
      </c>
    </row>
    <row r="366" customFormat="false" ht="15" hidden="false" customHeight="false" outlineLevel="0" collapsed="false">
      <c r="A366" s="17" t="n">
        <v>46266</v>
      </c>
      <c r="B366" s="18" t="s">
        <v>70</v>
      </c>
      <c r="C366" s="2" t="str">
        <f aca="false">VLOOKUP(B366,Targets!$A$2:$D$43,2,FALSE())</f>
        <v>Central</v>
      </c>
      <c r="D366" s="19" t="n">
        <v>1940</v>
      </c>
      <c r="E366" s="19" t="n">
        <v>1834</v>
      </c>
      <c r="F366" s="20" t="n">
        <f aca="false">E366-D366</f>
        <v>-106</v>
      </c>
      <c r="G366" s="21" t="n">
        <f aca="false">IF(D366=0,0,F366/D366)</f>
        <v>-0.054639175257732</v>
      </c>
      <c r="H366" s="21" t="n">
        <f aca="false">IF(D366=0,0,E366/D366)</f>
        <v>0.945360824742268</v>
      </c>
      <c r="I366" s="21" t="n">
        <f aca="false">VLOOKUP(B366,Targets!$A$2:$D$43,3,FALSE())</f>
        <v>0.9</v>
      </c>
      <c r="J366" s="22" t="n">
        <f aca="false">H366-I366</f>
        <v>0.045360824742268</v>
      </c>
      <c r="K366" s="2" t="str">
        <f aca="false">IF(J366&lt;-Targets!$F$2,"Under",IF(J366&gt;Targets!$F$2,"Over","On Track"))</f>
        <v>On Track</v>
      </c>
    </row>
    <row r="367" customFormat="false" ht="15" hidden="false" customHeight="false" outlineLevel="0" collapsed="false">
      <c r="A367" s="17" t="n">
        <v>46266</v>
      </c>
      <c r="B367" s="18" t="s">
        <v>71</v>
      </c>
      <c r="C367" s="2" t="str">
        <f aca="false">VLOOKUP(B367,Targets!$A$2:$D$43,2,FALSE())</f>
        <v>Central</v>
      </c>
      <c r="D367" s="19" t="n">
        <v>1360</v>
      </c>
      <c r="E367" s="19" t="n">
        <v>1193</v>
      </c>
      <c r="F367" s="20" t="n">
        <f aca="false">E367-D367</f>
        <v>-167</v>
      </c>
      <c r="G367" s="21" t="n">
        <f aca="false">IF(D367=0,0,F367/D367)</f>
        <v>-0.122794117647059</v>
      </c>
      <c r="H367" s="21" t="n">
        <f aca="false">IF(D367=0,0,E367/D367)</f>
        <v>0.877205882352941</v>
      </c>
      <c r="I367" s="21" t="n">
        <f aca="false">VLOOKUP(B367,Targets!$A$2:$D$43,3,FALSE())</f>
        <v>0.85</v>
      </c>
      <c r="J367" s="22" t="n">
        <f aca="false">H367-I367</f>
        <v>0.0272058823529412</v>
      </c>
      <c r="K367" s="2" t="str">
        <f aca="false">IF(J367&lt;-Targets!$F$2,"Under",IF(J367&gt;Targets!$F$2,"Over","On Track"))</f>
        <v>On Track</v>
      </c>
    </row>
    <row r="368" customFormat="false" ht="15" hidden="false" customHeight="false" outlineLevel="0" collapsed="false">
      <c r="A368" s="17" t="n">
        <v>46266</v>
      </c>
      <c r="B368" s="18" t="s">
        <v>72</v>
      </c>
      <c r="C368" s="2" t="str">
        <f aca="false">VLOOKUP(B368,Targets!$A$2:$D$43,2,FALSE())</f>
        <v>Central</v>
      </c>
      <c r="D368" s="19" t="n">
        <v>2840</v>
      </c>
      <c r="E368" s="19" t="n">
        <v>1959</v>
      </c>
      <c r="F368" s="20" t="n">
        <f aca="false">E368-D368</f>
        <v>-881</v>
      </c>
      <c r="G368" s="21" t="n">
        <f aca="false">IF(D368=0,0,F368/D368)</f>
        <v>-0.310211267605634</v>
      </c>
      <c r="H368" s="21" t="n">
        <f aca="false">IF(D368=0,0,E368/D368)</f>
        <v>0.689788732394366</v>
      </c>
      <c r="I368" s="21" t="n">
        <f aca="false">VLOOKUP(B368,Targets!$A$2:$D$43,3,FALSE())</f>
        <v>0.85</v>
      </c>
      <c r="J368" s="22" t="n">
        <f aca="false">H368-I368</f>
        <v>-0.160211267605634</v>
      </c>
      <c r="K368" s="2" t="str">
        <f aca="false">IF(J368&lt;-Targets!$F$2,"Under",IF(J368&gt;Targets!$F$2,"Over","On Track"))</f>
        <v>Under</v>
      </c>
    </row>
    <row r="369" customFormat="false" ht="15" hidden="false" customHeight="false" outlineLevel="0" collapsed="false">
      <c r="A369" s="17" t="n">
        <v>46266</v>
      </c>
      <c r="B369" s="18" t="s">
        <v>73</v>
      </c>
      <c r="C369" s="2" t="str">
        <f aca="false">VLOOKUP(B369,Targets!$A$2:$D$43,2,FALSE())</f>
        <v>Central</v>
      </c>
      <c r="D369" s="19" t="n">
        <v>1360</v>
      </c>
      <c r="E369" s="19" t="n">
        <v>1167</v>
      </c>
      <c r="F369" s="20" t="n">
        <f aca="false">E369-D369</f>
        <v>-193</v>
      </c>
      <c r="G369" s="21" t="n">
        <f aca="false">IF(D369=0,0,F369/D369)</f>
        <v>-0.141911764705882</v>
      </c>
      <c r="H369" s="21" t="n">
        <f aca="false">IF(D369=0,0,E369/D369)</f>
        <v>0.858088235294118</v>
      </c>
      <c r="I369" s="21" t="n">
        <f aca="false">VLOOKUP(B369,Targets!$A$2:$D$43,3,FALSE())</f>
        <v>0.85</v>
      </c>
      <c r="J369" s="22" t="n">
        <f aca="false">H369-I369</f>
        <v>0.00808823529411762</v>
      </c>
      <c r="K369" s="2" t="str">
        <f aca="false">IF(J369&lt;-Targets!$F$2,"Under",IF(J369&gt;Targets!$F$2,"Over","On Track"))</f>
        <v>On Track</v>
      </c>
    </row>
    <row r="370" customFormat="false" ht="15" hidden="false" customHeight="false" outlineLevel="0" collapsed="false">
      <c r="A370" s="17" t="n">
        <v>46266</v>
      </c>
      <c r="B370" s="18" t="s">
        <v>74</v>
      </c>
      <c r="C370" s="2" t="str">
        <f aca="false">VLOOKUP(B370,Targets!$A$2:$D$43,2,FALSE())</f>
        <v>Central</v>
      </c>
      <c r="D370" s="19" t="n">
        <v>2680</v>
      </c>
      <c r="E370" s="19" t="n">
        <v>2245</v>
      </c>
      <c r="F370" s="20" t="n">
        <f aca="false">E370-D370</f>
        <v>-435</v>
      </c>
      <c r="G370" s="21" t="n">
        <f aca="false">IF(D370=0,0,F370/D370)</f>
        <v>-0.162313432835821</v>
      </c>
      <c r="H370" s="21" t="n">
        <f aca="false">IF(D370=0,0,E370/D370)</f>
        <v>0.837686567164179</v>
      </c>
      <c r="I370" s="21" t="n">
        <f aca="false">VLOOKUP(B370,Targets!$A$2:$D$43,3,FALSE())</f>
        <v>0.85</v>
      </c>
      <c r="J370" s="22" t="n">
        <f aca="false">H370-I370</f>
        <v>-0.0123134328358209</v>
      </c>
      <c r="K370" s="2" t="str">
        <f aca="false">IF(J370&lt;-Targets!$F$2,"Under",IF(J370&gt;Targets!$F$2,"Over","On Track"))</f>
        <v>On Track</v>
      </c>
    </row>
    <row r="371" customFormat="false" ht="15" hidden="false" customHeight="false" outlineLevel="0" collapsed="false">
      <c r="A371" s="17" t="n">
        <v>46266</v>
      </c>
      <c r="B371" s="18" t="s">
        <v>75</v>
      </c>
      <c r="C371" s="2" t="str">
        <f aca="false">VLOOKUP(B371,Targets!$A$2:$D$43,2,FALSE())</f>
        <v>Central</v>
      </c>
      <c r="D371" s="19" t="n">
        <v>2100</v>
      </c>
      <c r="E371" s="19" t="n">
        <v>1868</v>
      </c>
      <c r="F371" s="20" t="n">
        <f aca="false">E371-D371</f>
        <v>-232</v>
      </c>
      <c r="G371" s="21" t="n">
        <f aca="false">IF(D371=0,0,F371/D371)</f>
        <v>-0.11047619047619</v>
      </c>
      <c r="H371" s="21" t="n">
        <f aca="false">IF(D371=0,0,E371/D371)</f>
        <v>0.88952380952381</v>
      </c>
      <c r="I371" s="21" t="n">
        <f aca="false">VLOOKUP(B371,Targets!$A$2:$D$43,3,FALSE())</f>
        <v>0.88</v>
      </c>
      <c r="J371" s="22" t="n">
        <f aca="false">H371-I371</f>
        <v>0.00952380952380949</v>
      </c>
      <c r="K371" s="2" t="str">
        <f aca="false">IF(J371&lt;-Targets!$F$2,"Under",IF(J371&gt;Targets!$F$2,"Over","On Track"))</f>
        <v>On Track</v>
      </c>
    </row>
    <row r="372" customFormat="false" ht="15" hidden="false" customHeight="false" outlineLevel="0" collapsed="false">
      <c r="A372" s="17" t="n">
        <v>46266</v>
      </c>
      <c r="B372" s="18" t="s">
        <v>76</v>
      </c>
      <c r="C372" s="2" t="str">
        <f aca="false">VLOOKUP(B372,Targets!$A$2:$D$43,2,FALSE())</f>
        <v>Central</v>
      </c>
      <c r="D372" s="19" t="n">
        <v>2260</v>
      </c>
      <c r="E372" s="19" t="n">
        <v>1955</v>
      </c>
      <c r="F372" s="20" t="n">
        <f aca="false">E372-D372</f>
        <v>-305</v>
      </c>
      <c r="G372" s="21" t="n">
        <f aca="false">IF(D372=0,0,F372/D372)</f>
        <v>-0.134955752212389</v>
      </c>
      <c r="H372" s="21" t="n">
        <f aca="false">IF(D372=0,0,E372/D372)</f>
        <v>0.865044247787611</v>
      </c>
      <c r="I372" s="21" t="n">
        <f aca="false">VLOOKUP(B372,Targets!$A$2:$D$43,3,FALSE())</f>
        <v>0.9</v>
      </c>
      <c r="J372" s="22" t="n">
        <f aca="false">H372-I372</f>
        <v>-0.0349557522123894</v>
      </c>
      <c r="K372" s="2" t="str">
        <f aca="false">IF(J372&lt;-Targets!$F$2,"Under",IF(J372&gt;Targets!$F$2,"Over","On Track"))</f>
        <v>On Track</v>
      </c>
    </row>
    <row r="373" customFormat="false" ht="15" hidden="false" customHeight="false" outlineLevel="0" collapsed="false">
      <c r="A373" s="17" t="n">
        <v>46266</v>
      </c>
      <c r="B373" s="18" t="s">
        <v>77</v>
      </c>
      <c r="C373" s="2" t="str">
        <f aca="false">VLOOKUP(B373,Targets!$A$2:$D$43,2,FALSE())</f>
        <v>North-East</v>
      </c>
      <c r="D373" s="19" t="n">
        <v>1840</v>
      </c>
      <c r="E373" s="19" t="n">
        <v>1567</v>
      </c>
      <c r="F373" s="20" t="n">
        <f aca="false">E373-D373</f>
        <v>-273</v>
      </c>
      <c r="G373" s="21" t="n">
        <f aca="false">IF(D373=0,0,F373/D373)</f>
        <v>-0.148369565217391</v>
      </c>
      <c r="H373" s="21" t="n">
        <f aca="false">IF(D373=0,0,E373/D373)</f>
        <v>0.851630434782609</v>
      </c>
      <c r="I373" s="21" t="n">
        <f aca="false">VLOOKUP(B373,Targets!$A$2:$D$43,3,FALSE())</f>
        <v>0.88</v>
      </c>
      <c r="J373" s="22" t="n">
        <f aca="false">H373-I373</f>
        <v>-0.0283695652173913</v>
      </c>
      <c r="K373" s="2" t="str">
        <f aca="false">IF(J373&lt;-Targets!$F$2,"Under",IF(J373&gt;Targets!$F$2,"Over","On Track"))</f>
        <v>On Track</v>
      </c>
    </row>
    <row r="374" customFormat="false" ht="15" hidden="false" customHeight="false" outlineLevel="0" collapsed="false">
      <c r="A374" s="17" t="n">
        <v>46266</v>
      </c>
      <c r="B374" s="18" t="s">
        <v>78</v>
      </c>
      <c r="C374" s="2" t="str">
        <f aca="false">VLOOKUP(B374,Targets!$A$2:$D$43,2,FALSE())</f>
        <v>North-East</v>
      </c>
      <c r="D374" s="19" t="n">
        <v>1420</v>
      </c>
      <c r="E374" s="19" t="n">
        <v>1344</v>
      </c>
      <c r="F374" s="20" t="n">
        <f aca="false">E374-D374</f>
        <v>-76</v>
      </c>
      <c r="G374" s="21" t="n">
        <f aca="false">IF(D374=0,0,F374/D374)</f>
        <v>-0.0535211267605634</v>
      </c>
      <c r="H374" s="21" t="n">
        <f aca="false">IF(D374=0,0,E374/D374)</f>
        <v>0.946478873239437</v>
      </c>
      <c r="I374" s="21" t="n">
        <f aca="false">VLOOKUP(B374,Targets!$A$2:$D$43,3,FALSE())</f>
        <v>0.92</v>
      </c>
      <c r="J374" s="22" t="n">
        <f aca="false">H374-I374</f>
        <v>0.0264788732394365</v>
      </c>
      <c r="K374" s="2" t="str">
        <f aca="false">IF(J374&lt;-Targets!$F$2,"Under",IF(J374&gt;Targets!$F$2,"Over","On Track"))</f>
        <v>On Track</v>
      </c>
    </row>
    <row r="375" customFormat="false" ht="15" hidden="false" customHeight="false" outlineLevel="0" collapsed="false">
      <c r="A375" s="17" t="n">
        <v>46266</v>
      </c>
      <c r="B375" s="18" t="s">
        <v>79</v>
      </c>
      <c r="C375" s="2" t="str">
        <f aca="false">VLOOKUP(B375,Targets!$A$2:$D$43,2,FALSE())</f>
        <v>North-East</v>
      </c>
      <c r="D375" s="19" t="n">
        <v>1310</v>
      </c>
      <c r="E375" s="19" t="n">
        <v>1226</v>
      </c>
      <c r="F375" s="20" t="n">
        <f aca="false">E375-D375</f>
        <v>-84</v>
      </c>
      <c r="G375" s="21" t="n">
        <f aca="false">IF(D375=0,0,F375/D375)</f>
        <v>-0.0641221374045802</v>
      </c>
      <c r="H375" s="21" t="n">
        <f aca="false">IF(D375=0,0,E375/D375)</f>
        <v>0.93587786259542</v>
      </c>
      <c r="I375" s="21" t="n">
        <f aca="false">VLOOKUP(B375,Targets!$A$2:$D$43,3,FALSE())</f>
        <v>0.92</v>
      </c>
      <c r="J375" s="22" t="n">
        <f aca="false">H375-I375</f>
        <v>0.0158778625954198</v>
      </c>
      <c r="K375" s="2" t="str">
        <f aca="false">IF(J375&lt;-Targets!$F$2,"Under",IF(J375&gt;Targets!$F$2,"Over","On Track"))</f>
        <v>On Track</v>
      </c>
    </row>
    <row r="376" customFormat="false" ht="15" hidden="false" customHeight="false" outlineLevel="0" collapsed="false">
      <c r="A376" s="17" t="n">
        <v>46266</v>
      </c>
      <c r="B376" s="18" t="s">
        <v>80</v>
      </c>
      <c r="C376" s="2" t="str">
        <f aca="false">VLOOKUP(B376,Targets!$A$2:$D$43,2,FALSE())</f>
        <v>North-East</v>
      </c>
      <c r="D376" s="19" t="n">
        <v>2470</v>
      </c>
      <c r="E376" s="19" t="n">
        <v>2222</v>
      </c>
      <c r="F376" s="20" t="n">
        <f aca="false">E376-D376</f>
        <v>-248</v>
      </c>
      <c r="G376" s="21" t="n">
        <f aca="false">IF(D376=0,0,F376/D376)</f>
        <v>-0.100404858299595</v>
      </c>
      <c r="H376" s="21" t="n">
        <f aca="false">IF(D376=0,0,E376/D376)</f>
        <v>0.899595141700405</v>
      </c>
      <c r="I376" s="21" t="n">
        <f aca="false">VLOOKUP(B376,Targets!$A$2:$D$43,3,FALSE())</f>
        <v>0.88</v>
      </c>
      <c r="J376" s="22" t="n">
        <f aca="false">H376-I376</f>
        <v>0.0195951417004049</v>
      </c>
      <c r="K376" s="2" t="str">
        <f aca="false">IF(J376&lt;-Targets!$F$2,"Under",IF(J376&gt;Targets!$F$2,"Over","On Track"))</f>
        <v>On Track</v>
      </c>
    </row>
    <row r="377" customFormat="false" ht="15" hidden="false" customHeight="false" outlineLevel="0" collapsed="false">
      <c r="A377" s="17" t="n">
        <v>46266</v>
      </c>
      <c r="B377" s="18" t="s">
        <v>81</v>
      </c>
      <c r="C377" s="2" t="str">
        <f aca="false">VLOOKUP(B377,Targets!$A$2:$D$43,2,FALSE())</f>
        <v>North-East</v>
      </c>
      <c r="D377" s="19" t="n">
        <v>1580</v>
      </c>
      <c r="E377" s="19" t="n">
        <v>1364</v>
      </c>
      <c r="F377" s="20" t="n">
        <f aca="false">E377-D377</f>
        <v>-216</v>
      </c>
      <c r="G377" s="21" t="n">
        <f aca="false">IF(D377=0,0,F377/D377)</f>
        <v>-0.136708860759494</v>
      </c>
      <c r="H377" s="21" t="n">
        <f aca="false">IF(D377=0,0,E377/D377)</f>
        <v>0.863291139240506</v>
      </c>
      <c r="I377" s="21" t="n">
        <f aca="false">VLOOKUP(B377,Targets!$A$2:$D$43,3,FALSE())</f>
        <v>0.88</v>
      </c>
      <c r="J377" s="22" t="n">
        <f aca="false">H377-I377</f>
        <v>-0.0167088607594936</v>
      </c>
      <c r="K377" s="2" t="str">
        <f aca="false">IF(J377&lt;-Targets!$F$2,"Under",IF(J377&gt;Targets!$F$2,"Over","On Track"))</f>
        <v>On Track</v>
      </c>
    </row>
    <row r="378" customFormat="false" ht="15" hidden="false" customHeight="false" outlineLevel="0" collapsed="false">
      <c r="A378" s="17" t="n">
        <v>46266</v>
      </c>
      <c r="B378" s="18" t="s">
        <v>82</v>
      </c>
      <c r="C378" s="2" t="str">
        <f aca="false">VLOOKUP(B378,Targets!$A$2:$D$43,2,FALSE())</f>
        <v>North-East</v>
      </c>
      <c r="D378" s="19" t="n">
        <v>940</v>
      </c>
      <c r="E378" s="19" t="n">
        <v>777</v>
      </c>
      <c r="F378" s="20" t="n">
        <f aca="false">E378-D378</f>
        <v>-163</v>
      </c>
      <c r="G378" s="21" t="n">
        <f aca="false">IF(D378=0,0,F378/D378)</f>
        <v>-0.173404255319149</v>
      </c>
      <c r="H378" s="21" t="n">
        <f aca="false">IF(D378=0,0,E378/D378)</f>
        <v>0.826595744680851</v>
      </c>
      <c r="I378" s="21" t="n">
        <f aca="false">VLOOKUP(B378,Targets!$A$2:$D$43,3,FALSE())</f>
        <v>0.85</v>
      </c>
      <c r="J378" s="22" t="n">
        <f aca="false">H378-I378</f>
        <v>-0.0234042553191489</v>
      </c>
      <c r="K378" s="2" t="str">
        <f aca="false">IF(J378&lt;-Targets!$F$2,"Under",IF(J378&gt;Targets!$F$2,"Over","On Track"))</f>
        <v>On Track</v>
      </c>
    </row>
    <row r="379" customFormat="false" ht="15" hidden="false" customHeight="false" outlineLevel="0" collapsed="false">
      <c r="A379" s="17" t="n">
        <v>46266</v>
      </c>
      <c r="B379" s="18" t="s">
        <v>83</v>
      </c>
      <c r="C379" s="2" t="str">
        <f aca="false">VLOOKUP(B379,Targets!$A$2:$D$43,2,FALSE())</f>
        <v>North-East</v>
      </c>
      <c r="D379" s="19" t="n">
        <v>1360</v>
      </c>
      <c r="E379" s="19" t="n">
        <v>1166</v>
      </c>
      <c r="F379" s="20" t="n">
        <f aca="false">E379-D379</f>
        <v>-194</v>
      </c>
      <c r="G379" s="21" t="n">
        <f aca="false">IF(D379=0,0,F379/D379)</f>
        <v>-0.142647058823529</v>
      </c>
      <c r="H379" s="21" t="n">
        <f aca="false">IF(D379=0,0,E379/D379)</f>
        <v>0.857352941176471</v>
      </c>
      <c r="I379" s="21" t="n">
        <f aca="false">VLOOKUP(B379,Targets!$A$2:$D$43,3,FALSE())</f>
        <v>0.88</v>
      </c>
      <c r="J379" s="22" t="n">
        <f aca="false">H379-I379</f>
        <v>-0.0226470588235295</v>
      </c>
      <c r="K379" s="2" t="str">
        <f aca="false">IF(J379&lt;-Targets!$F$2,"Under",IF(J379&gt;Targets!$F$2,"Over","On Track"))</f>
        <v>On Track</v>
      </c>
    </row>
    <row r="380" customFormat="false" ht="15" hidden="false" customHeight="false" outlineLevel="0" collapsed="false">
      <c r="A380" s="17" t="n">
        <v>46296</v>
      </c>
      <c r="B380" s="18" t="s">
        <v>41</v>
      </c>
      <c r="C380" s="2" t="str">
        <f aca="false">VLOOKUP(B380,Targets!$A$2:$D$43,2,FALSE())</f>
        <v>North</v>
      </c>
      <c r="D380" s="19" t="n">
        <v>2860</v>
      </c>
      <c r="E380" s="19" t="n">
        <v>2360</v>
      </c>
      <c r="F380" s="20" t="n">
        <f aca="false">E380-D380</f>
        <v>-500</v>
      </c>
      <c r="G380" s="21" t="n">
        <f aca="false">IF(D380=0,0,F380/D380)</f>
        <v>-0.174825174825175</v>
      </c>
      <c r="H380" s="21" t="n">
        <f aca="false">IF(D380=0,0,E380/D380)</f>
        <v>0.825174825174825</v>
      </c>
      <c r="I380" s="21" t="n">
        <f aca="false">VLOOKUP(B380,Targets!$A$2:$D$43,3,FALSE())</f>
        <v>0.88</v>
      </c>
      <c r="J380" s="22" t="n">
        <f aca="false">H380-I380</f>
        <v>-0.0548251748251748</v>
      </c>
      <c r="K380" s="2" t="str">
        <f aca="false">IF(J380&lt;-Targets!$F$2,"Under",IF(J380&gt;Targets!$F$2,"Over","On Track"))</f>
        <v>Under</v>
      </c>
    </row>
    <row r="381" customFormat="false" ht="15" hidden="false" customHeight="false" outlineLevel="0" collapsed="false">
      <c r="A381" s="17" t="n">
        <v>46296</v>
      </c>
      <c r="B381" s="18" t="s">
        <v>42</v>
      </c>
      <c r="C381" s="2" t="str">
        <f aca="false">VLOOKUP(B381,Targets!$A$2:$D$43,2,FALSE())</f>
        <v>North</v>
      </c>
      <c r="D381" s="19" t="n">
        <v>2430</v>
      </c>
      <c r="E381" s="19" t="n">
        <v>2414</v>
      </c>
      <c r="F381" s="20" t="n">
        <f aca="false">E381-D381</f>
        <v>-16</v>
      </c>
      <c r="G381" s="21" t="n">
        <f aca="false">IF(D381=0,0,F381/D381)</f>
        <v>-0.0065843621399177</v>
      </c>
      <c r="H381" s="21" t="n">
        <f aca="false">IF(D381=0,0,E381/D381)</f>
        <v>0.993415637860082</v>
      </c>
      <c r="I381" s="21" t="n">
        <f aca="false">VLOOKUP(B381,Targets!$A$2:$D$43,3,FALSE())</f>
        <v>0.88</v>
      </c>
      <c r="J381" s="22" t="n">
        <f aca="false">H381-I381</f>
        <v>0.113415637860082</v>
      </c>
      <c r="K381" s="2" t="str">
        <f aca="false">IF(J381&lt;-Targets!$F$2,"Under",IF(J381&gt;Targets!$F$2,"Over","On Track"))</f>
        <v>Over</v>
      </c>
    </row>
    <row r="382" customFormat="false" ht="15" hidden="false" customHeight="false" outlineLevel="0" collapsed="false">
      <c r="A382" s="17" t="n">
        <v>46296</v>
      </c>
      <c r="B382" s="18" t="s">
        <v>44</v>
      </c>
      <c r="C382" s="2" t="str">
        <f aca="false">VLOOKUP(B382,Targets!$A$2:$D$43,2,FALSE())</f>
        <v>North</v>
      </c>
      <c r="D382" s="19" t="n">
        <v>2700</v>
      </c>
      <c r="E382" s="19" t="n">
        <v>2410</v>
      </c>
      <c r="F382" s="20" t="n">
        <f aca="false">E382-D382</f>
        <v>-290</v>
      </c>
      <c r="G382" s="21" t="n">
        <f aca="false">IF(D382=0,0,F382/D382)</f>
        <v>-0.107407407407407</v>
      </c>
      <c r="H382" s="21" t="n">
        <f aca="false">IF(D382=0,0,E382/D382)</f>
        <v>0.892592592592593</v>
      </c>
      <c r="I382" s="21" t="n">
        <f aca="false">VLOOKUP(B382,Targets!$A$2:$D$43,3,FALSE())</f>
        <v>0.88</v>
      </c>
      <c r="J382" s="22" t="n">
        <f aca="false">H382-I382</f>
        <v>0.0125925925925926</v>
      </c>
      <c r="K382" s="2" t="str">
        <f aca="false">IF(J382&lt;-Targets!$F$2,"Under",IF(J382&gt;Targets!$F$2,"Over","On Track"))</f>
        <v>On Track</v>
      </c>
    </row>
    <row r="383" customFormat="false" ht="15" hidden="false" customHeight="false" outlineLevel="0" collapsed="false">
      <c r="A383" s="17" t="n">
        <v>46296</v>
      </c>
      <c r="B383" s="18" t="s">
        <v>45</v>
      </c>
      <c r="C383" s="2" t="str">
        <f aca="false">VLOOKUP(B383,Targets!$A$2:$D$43,2,FALSE())</f>
        <v>North</v>
      </c>
      <c r="D383" s="19" t="n">
        <v>1190</v>
      </c>
      <c r="E383" s="19" t="n">
        <v>1067</v>
      </c>
      <c r="F383" s="20" t="n">
        <f aca="false">E383-D383</f>
        <v>-123</v>
      </c>
      <c r="G383" s="21" t="n">
        <f aca="false">IF(D383=0,0,F383/D383)</f>
        <v>-0.103361344537815</v>
      </c>
      <c r="H383" s="21" t="n">
        <f aca="false">IF(D383=0,0,E383/D383)</f>
        <v>0.896638655462185</v>
      </c>
      <c r="I383" s="21" t="n">
        <f aca="false">VLOOKUP(B383,Targets!$A$2:$D$43,3,FALSE())</f>
        <v>0.88</v>
      </c>
      <c r="J383" s="22" t="n">
        <f aca="false">H383-I383</f>
        <v>0.0166386554621849</v>
      </c>
      <c r="K383" s="2" t="str">
        <f aca="false">IF(J383&lt;-Targets!$F$2,"Under",IF(J383&gt;Targets!$F$2,"Over","On Track"))</f>
        <v>On Track</v>
      </c>
    </row>
    <row r="384" customFormat="false" ht="15" hidden="false" customHeight="false" outlineLevel="0" collapsed="false">
      <c r="A384" s="17" t="n">
        <v>46296</v>
      </c>
      <c r="B384" s="18" t="s">
        <v>46</v>
      </c>
      <c r="C384" s="2" t="str">
        <f aca="false">VLOOKUP(B384,Targets!$A$2:$D$43,2,FALSE())</f>
        <v>North</v>
      </c>
      <c r="D384" s="19" t="n">
        <v>2540</v>
      </c>
      <c r="E384" s="19" t="n">
        <v>2252</v>
      </c>
      <c r="F384" s="20" t="n">
        <f aca="false">E384-D384</f>
        <v>-288</v>
      </c>
      <c r="G384" s="21" t="n">
        <f aca="false">IF(D384=0,0,F384/D384)</f>
        <v>-0.113385826771654</v>
      </c>
      <c r="H384" s="21" t="n">
        <f aca="false">IF(D384=0,0,E384/D384)</f>
        <v>0.886614173228347</v>
      </c>
      <c r="I384" s="21" t="n">
        <f aca="false">VLOOKUP(B384,Targets!$A$2:$D$43,3,FALSE())</f>
        <v>0.88</v>
      </c>
      <c r="J384" s="22" t="n">
        <f aca="false">H384-I384</f>
        <v>0.00661417322834645</v>
      </c>
      <c r="K384" s="2" t="str">
        <f aca="false">IF(J384&lt;-Targets!$F$2,"Under",IF(J384&gt;Targets!$F$2,"Over","On Track"))</f>
        <v>On Track</v>
      </c>
    </row>
    <row r="385" customFormat="false" ht="15" hidden="false" customHeight="false" outlineLevel="0" collapsed="false">
      <c r="A385" s="17" t="n">
        <v>46296</v>
      </c>
      <c r="B385" s="18" t="s">
        <v>47</v>
      </c>
      <c r="C385" s="2" t="str">
        <f aca="false">VLOOKUP(B385,Targets!$A$2:$D$43,2,FALSE())</f>
        <v>North</v>
      </c>
      <c r="D385" s="19" t="n">
        <v>3400</v>
      </c>
      <c r="E385" s="19" t="n">
        <v>3143</v>
      </c>
      <c r="F385" s="20" t="n">
        <f aca="false">E385-D385</f>
        <v>-257</v>
      </c>
      <c r="G385" s="21" t="n">
        <f aca="false">IF(D385=0,0,F385/D385)</f>
        <v>-0.0755882352941177</v>
      </c>
      <c r="H385" s="21" t="n">
        <f aca="false">IF(D385=0,0,E385/D385)</f>
        <v>0.924411764705882</v>
      </c>
      <c r="I385" s="21" t="n">
        <f aca="false">VLOOKUP(B385,Targets!$A$2:$D$43,3,FALSE())</f>
        <v>0.9</v>
      </c>
      <c r="J385" s="22" t="n">
        <f aca="false">H385-I385</f>
        <v>0.0244117647058824</v>
      </c>
      <c r="K385" s="2" t="str">
        <f aca="false">IF(J385&lt;-Targets!$F$2,"Under",IF(J385&gt;Targets!$F$2,"Over","On Track"))</f>
        <v>On Track</v>
      </c>
    </row>
    <row r="386" customFormat="false" ht="15" hidden="false" customHeight="false" outlineLevel="0" collapsed="false">
      <c r="A386" s="17" t="n">
        <v>46296</v>
      </c>
      <c r="B386" s="18" t="s">
        <v>48</v>
      </c>
      <c r="C386" s="2" t="str">
        <f aca="false">VLOOKUP(B386,Targets!$A$2:$D$43,2,FALSE())</f>
        <v>North</v>
      </c>
      <c r="D386" s="19" t="n">
        <v>2000</v>
      </c>
      <c r="E386" s="19" t="n">
        <v>1491</v>
      </c>
      <c r="F386" s="20" t="n">
        <f aca="false">E386-D386</f>
        <v>-509</v>
      </c>
      <c r="G386" s="21" t="n">
        <f aca="false">IF(D386=0,0,F386/D386)</f>
        <v>-0.2545</v>
      </c>
      <c r="H386" s="21" t="n">
        <f aca="false">IF(D386=0,0,E386/D386)</f>
        <v>0.7455</v>
      </c>
      <c r="I386" s="21" t="n">
        <f aca="false">VLOOKUP(B386,Targets!$A$2:$D$43,3,FALSE())</f>
        <v>0.85</v>
      </c>
      <c r="J386" s="22" t="n">
        <f aca="false">H386-I386</f>
        <v>-0.1045</v>
      </c>
      <c r="K386" s="2" t="str">
        <f aca="false">IF(J386&lt;-Targets!$F$2,"Under",IF(J386&gt;Targets!$F$2,"Over","On Track"))</f>
        <v>Under</v>
      </c>
    </row>
    <row r="387" customFormat="false" ht="15" hidden="false" customHeight="false" outlineLevel="0" collapsed="false">
      <c r="A387" s="17" t="n">
        <v>46296</v>
      </c>
      <c r="B387" s="18" t="s">
        <v>49</v>
      </c>
      <c r="C387" s="2" t="str">
        <f aca="false">VLOOKUP(B387,Targets!$A$2:$D$43,2,FALSE())</f>
        <v>South</v>
      </c>
      <c r="D387" s="19" t="n">
        <v>1240</v>
      </c>
      <c r="E387" s="19" t="n">
        <v>1044</v>
      </c>
      <c r="F387" s="20" t="n">
        <f aca="false">E387-D387</f>
        <v>-196</v>
      </c>
      <c r="G387" s="21" t="n">
        <f aca="false">IF(D387=0,0,F387/D387)</f>
        <v>-0.158064516129032</v>
      </c>
      <c r="H387" s="21" t="n">
        <f aca="false">IF(D387=0,0,E387/D387)</f>
        <v>0.841935483870968</v>
      </c>
      <c r="I387" s="21" t="n">
        <f aca="false">VLOOKUP(B387,Targets!$A$2:$D$43,3,FALSE())</f>
        <v>0.92</v>
      </c>
      <c r="J387" s="22" t="n">
        <f aca="false">H387-I387</f>
        <v>-0.0780645161290323</v>
      </c>
      <c r="K387" s="2" t="str">
        <f aca="false">IF(J387&lt;-Targets!$F$2,"Under",IF(J387&gt;Targets!$F$2,"Over","On Track"))</f>
        <v>Under</v>
      </c>
    </row>
    <row r="388" customFormat="false" ht="15" hidden="false" customHeight="false" outlineLevel="0" collapsed="false">
      <c r="A388" s="17" t="n">
        <v>46296</v>
      </c>
      <c r="B388" s="18" t="s">
        <v>50</v>
      </c>
      <c r="C388" s="2" t="str">
        <f aca="false">VLOOKUP(B388,Targets!$A$2:$D$43,2,FALSE())</f>
        <v>South</v>
      </c>
      <c r="D388" s="19" t="n">
        <v>3350</v>
      </c>
      <c r="E388" s="19" t="n">
        <v>2506</v>
      </c>
      <c r="F388" s="20" t="n">
        <f aca="false">E388-D388</f>
        <v>-844</v>
      </c>
      <c r="G388" s="21" t="n">
        <f aca="false">IF(D388=0,0,F388/D388)</f>
        <v>-0.251940298507463</v>
      </c>
      <c r="H388" s="21" t="n">
        <f aca="false">IF(D388=0,0,E388/D388)</f>
        <v>0.748059701492537</v>
      </c>
      <c r="I388" s="21" t="n">
        <f aca="false">VLOOKUP(B388,Targets!$A$2:$D$43,3,FALSE())</f>
        <v>0.9</v>
      </c>
      <c r="J388" s="22" t="n">
        <f aca="false">H388-I388</f>
        <v>-0.151940298507463</v>
      </c>
      <c r="K388" s="2" t="str">
        <f aca="false">IF(J388&lt;-Targets!$F$2,"Under",IF(J388&gt;Targets!$F$2,"Over","On Track"))</f>
        <v>Under</v>
      </c>
    </row>
    <row r="389" customFormat="false" ht="15" hidden="false" customHeight="false" outlineLevel="0" collapsed="false">
      <c r="A389" s="17" t="n">
        <v>46296</v>
      </c>
      <c r="B389" s="18" t="s">
        <v>51</v>
      </c>
      <c r="C389" s="2" t="str">
        <f aca="false">VLOOKUP(B389,Targets!$A$2:$D$43,2,FALSE())</f>
        <v>South</v>
      </c>
      <c r="D389" s="19" t="n">
        <v>2650</v>
      </c>
      <c r="E389" s="19" t="n">
        <v>2072</v>
      </c>
      <c r="F389" s="20" t="n">
        <f aca="false">E389-D389</f>
        <v>-578</v>
      </c>
      <c r="G389" s="21" t="n">
        <f aca="false">IF(D389=0,0,F389/D389)</f>
        <v>-0.21811320754717</v>
      </c>
      <c r="H389" s="21" t="n">
        <f aca="false">IF(D389=0,0,E389/D389)</f>
        <v>0.78188679245283</v>
      </c>
      <c r="I389" s="21" t="n">
        <f aca="false">VLOOKUP(B389,Targets!$A$2:$D$43,3,FALSE())</f>
        <v>0.92</v>
      </c>
      <c r="J389" s="22" t="n">
        <f aca="false">H389-I389</f>
        <v>-0.13811320754717</v>
      </c>
      <c r="K389" s="2" t="str">
        <f aca="false">IF(J389&lt;-Targets!$F$2,"Under",IF(J389&gt;Targets!$F$2,"Over","On Track"))</f>
        <v>Under</v>
      </c>
    </row>
    <row r="390" customFormat="false" ht="15" hidden="false" customHeight="false" outlineLevel="0" collapsed="false">
      <c r="A390" s="17" t="n">
        <v>46296</v>
      </c>
      <c r="B390" s="18" t="s">
        <v>52</v>
      </c>
      <c r="C390" s="2" t="str">
        <f aca="false">VLOOKUP(B390,Targets!$A$2:$D$43,2,FALSE())</f>
        <v>South</v>
      </c>
      <c r="D390" s="19" t="n">
        <v>1460</v>
      </c>
      <c r="E390" s="19" t="n">
        <v>1078</v>
      </c>
      <c r="F390" s="20" t="n">
        <f aca="false">E390-D390</f>
        <v>-382</v>
      </c>
      <c r="G390" s="21" t="n">
        <f aca="false">IF(D390=0,0,F390/D390)</f>
        <v>-0.261643835616438</v>
      </c>
      <c r="H390" s="21" t="n">
        <f aca="false">IF(D390=0,0,E390/D390)</f>
        <v>0.738356164383562</v>
      </c>
      <c r="I390" s="21" t="n">
        <f aca="false">VLOOKUP(B390,Targets!$A$2:$D$43,3,FALSE())</f>
        <v>0.92</v>
      </c>
      <c r="J390" s="22" t="n">
        <f aca="false">H390-I390</f>
        <v>-0.181643835616438</v>
      </c>
      <c r="K390" s="2" t="str">
        <f aca="false">IF(J390&lt;-Targets!$F$2,"Under",IF(J390&gt;Targets!$F$2,"Over","On Track"))</f>
        <v>Under</v>
      </c>
    </row>
    <row r="391" customFormat="false" ht="15" hidden="false" customHeight="false" outlineLevel="0" collapsed="false">
      <c r="A391" s="17" t="n">
        <v>46296</v>
      </c>
      <c r="B391" s="18" t="s">
        <v>53</v>
      </c>
      <c r="C391" s="2" t="str">
        <f aca="false">VLOOKUP(B391,Targets!$A$2:$D$43,2,FALSE())</f>
        <v>South</v>
      </c>
      <c r="D391" s="19" t="n">
        <v>2590</v>
      </c>
      <c r="E391" s="19" t="n">
        <v>1931</v>
      </c>
      <c r="F391" s="20" t="n">
        <f aca="false">E391-D391</f>
        <v>-659</v>
      </c>
      <c r="G391" s="21" t="n">
        <f aca="false">IF(D391=0,0,F391/D391)</f>
        <v>-0.254440154440154</v>
      </c>
      <c r="H391" s="21" t="n">
        <f aca="false">IF(D391=0,0,E391/D391)</f>
        <v>0.745559845559846</v>
      </c>
      <c r="I391" s="21" t="n">
        <f aca="false">VLOOKUP(B391,Targets!$A$2:$D$43,3,FALSE())</f>
        <v>0.92</v>
      </c>
      <c r="J391" s="22" t="n">
        <f aca="false">H391-I391</f>
        <v>-0.174440154440154</v>
      </c>
      <c r="K391" s="2" t="str">
        <f aca="false">IF(J391&lt;-Targets!$F$2,"Under",IF(J391&gt;Targets!$F$2,"Over","On Track"))</f>
        <v>Under</v>
      </c>
    </row>
    <row r="392" customFormat="false" ht="15" hidden="false" customHeight="false" outlineLevel="0" collapsed="false">
      <c r="A392" s="17" t="n">
        <v>46296</v>
      </c>
      <c r="B392" s="18" t="s">
        <v>54</v>
      </c>
      <c r="C392" s="2" t="str">
        <f aca="false">VLOOKUP(B392,Targets!$A$2:$D$43,2,FALSE())</f>
        <v>South</v>
      </c>
      <c r="D392" s="19" t="n">
        <v>3400</v>
      </c>
      <c r="E392" s="19" t="n">
        <v>2855</v>
      </c>
      <c r="F392" s="20" t="n">
        <f aca="false">E392-D392</f>
        <v>-545</v>
      </c>
      <c r="G392" s="21" t="n">
        <f aca="false">IF(D392=0,0,F392/D392)</f>
        <v>-0.160294117647059</v>
      </c>
      <c r="H392" s="21" t="n">
        <f aca="false">IF(D392=0,0,E392/D392)</f>
        <v>0.839705882352941</v>
      </c>
      <c r="I392" s="21" t="n">
        <f aca="false">VLOOKUP(B392,Targets!$A$2:$D$43,3,FALSE())</f>
        <v>0.9</v>
      </c>
      <c r="J392" s="22" t="n">
        <f aca="false">H392-I392</f>
        <v>-0.0602941176470588</v>
      </c>
      <c r="K392" s="2" t="str">
        <f aca="false">IF(J392&lt;-Targets!$F$2,"Under",IF(J392&gt;Targets!$F$2,"Over","On Track"))</f>
        <v>Under</v>
      </c>
    </row>
    <row r="393" customFormat="false" ht="15" hidden="false" customHeight="false" outlineLevel="0" collapsed="false">
      <c r="A393" s="17" t="n">
        <v>46296</v>
      </c>
      <c r="B393" s="18" t="s">
        <v>55</v>
      </c>
      <c r="C393" s="2" t="str">
        <f aca="false">VLOOKUP(B393,Targets!$A$2:$D$43,2,FALSE())</f>
        <v>South</v>
      </c>
      <c r="D393" s="19" t="n">
        <v>1460</v>
      </c>
      <c r="E393" s="19" t="n">
        <v>1177</v>
      </c>
      <c r="F393" s="20" t="n">
        <f aca="false">E393-D393</f>
        <v>-283</v>
      </c>
      <c r="G393" s="21" t="n">
        <f aca="false">IF(D393=0,0,F393/D393)</f>
        <v>-0.193835616438356</v>
      </c>
      <c r="H393" s="21" t="n">
        <f aca="false">IF(D393=0,0,E393/D393)</f>
        <v>0.806164383561644</v>
      </c>
      <c r="I393" s="21" t="n">
        <f aca="false">VLOOKUP(B393,Targets!$A$2:$D$43,3,FALSE())</f>
        <v>0.92</v>
      </c>
      <c r="J393" s="22" t="n">
        <f aca="false">H393-I393</f>
        <v>-0.113835616438356</v>
      </c>
      <c r="K393" s="2" t="str">
        <f aca="false">IF(J393&lt;-Targets!$F$2,"Under",IF(J393&gt;Targets!$F$2,"Over","On Track"))</f>
        <v>Under</v>
      </c>
    </row>
    <row r="394" customFormat="false" ht="15" hidden="false" customHeight="false" outlineLevel="0" collapsed="false">
      <c r="A394" s="17" t="n">
        <v>46296</v>
      </c>
      <c r="B394" s="18" t="s">
        <v>56</v>
      </c>
      <c r="C394" s="2" t="str">
        <f aca="false">VLOOKUP(B394,Targets!$A$2:$D$43,2,FALSE())</f>
        <v>East</v>
      </c>
      <c r="D394" s="19" t="n">
        <v>3080</v>
      </c>
      <c r="E394" s="19" t="n">
        <v>2758</v>
      </c>
      <c r="F394" s="20" t="n">
        <f aca="false">E394-D394</f>
        <v>-322</v>
      </c>
      <c r="G394" s="21" t="n">
        <f aca="false">IF(D394=0,0,F394/D394)</f>
        <v>-0.104545454545455</v>
      </c>
      <c r="H394" s="21" t="n">
        <f aca="false">IF(D394=0,0,E394/D394)</f>
        <v>0.895454545454546</v>
      </c>
      <c r="I394" s="21" t="n">
        <f aca="false">VLOOKUP(B394,Targets!$A$2:$D$43,3,FALSE())</f>
        <v>0.92</v>
      </c>
      <c r="J394" s="22" t="n">
        <f aca="false">H394-I394</f>
        <v>-0.0245454545454545</v>
      </c>
      <c r="K394" s="2" t="str">
        <f aca="false">IF(J394&lt;-Targets!$F$2,"Under",IF(J394&gt;Targets!$F$2,"Over","On Track"))</f>
        <v>On Track</v>
      </c>
    </row>
    <row r="395" customFormat="false" ht="15" hidden="false" customHeight="false" outlineLevel="0" collapsed="false">
      <c r="A395" s="17" t="n">
        <v>46296</v>
      </c>
      <c r="B395" s="18" t="s">
        <v>57</v>
      </c>
      <c r="C395" s="2" t="str">
        <f aca="false">VLOOKUP(B395,Targets!$A$2:$D$43,2,FALSE())</f>
        <v>East</v>
      </c>
      <c r="D395" s="19" t="n">
        <v>2700</v>
      </c>
      <c r="E395" s="19" t="n">
        <v>2301</v>
      </c>
      <c r="F395" s="20" t="n">
        <f aca="false">E395-D395</f>
        <v>-399</v>
      </c>
      <c r="G395" s="21" t="n">
        <f aca="false">IF(D395=0,0,F395/D395)</f>
        <v>-0.147777777777778</v>
      </c>
      <c r="H395" s="21" t="n">
        <f aca="false">IF(D395=0,0,E395/D395)</f>
        <v>0.852222222222222</v>
      </c>
      <c r="I395" s="21" t="n">
        <f aca="false">VLOOKUP(B395,Targets!$A$2:$D$43,3,FALSE())</f>
        <v>0.88</v>
      </c>
      <c r="J395" s="22" t="n">
        <f aca="false">H395-I395</f>
        <v>-0.0277777777777778</v>
      </c>
      <c r="K395" s="2" t="str">
        <f aca="false">IF(J395&lt;-Targets!$F$2,"Under",IF(J395&gt;Targets!$F$2,"Over","On Track"))</f>
        <v>On Track</v>
      </c>
    </row>
    <row r="396" customFormat="false" ht="15" hidden="false" customHeight="false" outlineLevel="0" collapsed="false">
      <c r="A396" s="17" t="n">
        <v>46296</v>
      </c>
      <c r="B396" s="18" t="s">
        <v>58</v>
      </c>
      <c r="C396" s="2" t="str">
        <f aca="false">VLOOKUP(B396,Targets!$A$2:$D$43,2,FALSE())</f>
        <v>East</v>
      </c>
      <c r="D396" s="19" t="n">
        <v>1510</v>
      </c>
      <c r="E396" s="19" t="n">
        <v>1273</v>
      </c>
      <c r="F396" s="20" t="n">
        <f aca="false">E396-D396</f>
        <v>-237</v>
      </c>
      <c r="G396" s="21" t="n">
        <f aca="false">IF(D396=0,0,F396/D396)</f>
        <v>-0.156953642384106</v>
      </c>
      <c r="H396" s="21" t="n">
        <f aca="false">IF(D396=0,0,E396/D396)</f>
        <v>0.843046357615894</v>
      </c>
      <c r="I396" s="21" t="n">
        <f aca="false">VLOOKUP(B396,Targets!$A$2:$D$43,3,FALSE())</f>
        <v>0.92</v>
      </c>
      <c r="J396" s="22" t="n">
        <f aca="false">H396-I396</f>
        <v>-0.076953642384106</v>
      </c>
      <c r="K396" s="2" t="str">
        <f aca="false">IF(J396&lt;-Targets!$F$2,"Under",IF(J396&gt;Targets!$F$2,"Over","On Track"))</f>
        <v>Under</v>
      </c>
    </row>
    <row r="397" customFormat="false" ht="15" hidden="false" customHeight="false" outlineLevel="0" collapsed="false">
      <c r="A397" s="17" t="n">
        <v>46296</v>
      </c>
      <c r="B397" s="18" t="s">
        <v>59</v>
      </c>
      <c r="C397" s="2" t="str">
        <f aca="false">VLOOKUP(B397,Targets!$A$2:$D$43,2,FALSE())</f>
        <v>East</v>
      </c>
      <c r="D397" s="19" t="n">
        <v>1400</v>
      </c>
      <c r="E397" s="19" t="n">
        <v>1156</v>
      </c>
      <c r="F397" s="20" t="n">
        <f aca="false">E397-D397</f>
        <v>-244</v>
      </c>
      <c r="G397" s="21" t="n">
        <f aca="false">IF(D397=0,0,F397/D397)</f>
        <v>-0.174285714285714</v>
      </c>
      <c r="H397" s="21" t="n">
        <f aca="false">IF(D397=0,0,E397/D397)</f>
        <v>0.825714285714286</v>
      </c>
      <c r="I397" s="21" t="n">
        <f aca="false">VLOOKUP(B397,Targets!$A$2:$D$43,3,FALSE())</f>
        <v>0.88</v>
      </c>
      <c r="J397" s="22" t="n">
        <f aca="false">H397-I397</f>
        <v>-0.0542857142857143</v>
      </c>
      <c r="K397" s="2" t="str">
        <f aca="false">IF(J397&lt;-Targets!$F$2,"Under",IF(J397&gt;Targets!$F$2,"Over","On Track"))</f>
        <v>Under</v>
      </c>
    </row>
    <row r="398" customFormat="false" ht="15" hidden="false" customHeight="false" outlineLevel="0" collapsed="false">
      <c r="A398" s="17" t="n">
        <v>46296</v>
      </c>
      <c r="B398" s="18" t="s">
        <v>60</v>
      </c>
      <c r="C398" s="2" t="str">
        <f aca="false">VLOOKUP(B398,Targets!$A$2:$D$43,2,FALSE())</f>
        <v>East</v>
      </c>
      <c r="D398" s="19" t="n">
        <v>3290</v>
      </c>
      <c r="E398" s="19" t="n">
        <v>2626</v>
      </c>
      <c r="F398" s="20" t="n">
        <f aca="false">E398-D398</f>
        <v>-664</v>
      </c>
      <c r="G398" s="21" t="n">
        <f aca="false">IF(D398=0,0,F398/D398)</f>
        <v>-0.201823708206687</v>
      </c>
      <c r="H398" s="21" t="n">
        <f aca="false">IF(D398=0,0,E398/D398)</f>
        <v>0.798176291793313</v>
      </c>
      <c r="I398" s="21" t="n">
        <f aca="false">VLOOKUP(B398,Targets!$A$2:$D$43,3,FALSE())</f>
        <v>0.88</v>
      </c>
      <c r="J398" s="22" t="n">
        <f aca="false">H398-I398</f>
        <v>-0.0818237082066869</v>
      </c>
      <c r="K398" s="2" t="str">
        <f aca="false">IF(J398&lt;-Targets!$F$2,"Under",IF(J398&gt;Targets!$F$2,"Over","On Track"))</f>
        <v>Under</v>
      </c>
    </row>
    <row r="399" customFormat="false" ht="15" hidden="false" customHeight="false" outlineLevel="0" collapsed="false">
      <c r="A399" s="17" t="n">
        <v>46296</v>
      </c>
      <c r="B399" s="18" t="s">
        <v>61</v>
      </c>
      <c r="C399" s="2" t="str">
        <f aca="false">VLOOKUP(B399,Targets!$A$2:$D$43,2,FALSE())</f>
        <v>East</v>
      </c>
      <c r="D399" s="19" t="n">
        <v>1780</v>
      </c>
      <c r="E399" s="19" t="n">
        <v>1504</v>
      </c>
      <c r="F399" s="20" t="n">
        <f aca="false">E399-D399</f>
        <v>-276</v>
      </c>
      <c r="G399" s="21" t="n">
        <f aca="false">IF(D399=0,0,F399/D399)</f>
        <v>-0.155056179775281</v>
      </c>
      <c r="H399" s="21" t="n">
        <f aca="false">IF(D399=0,0,E399/D399)</f>
        <v>0.844943820224719</v>
      </c>
      <c r="I399" s="21" t="n">
        <f aca="false">VLOOKUP(B399,Targets!$A$2:$D$43,3,FALSE())</f>
        <v>0.88</v>
      </c>
      <c r="J399" s="22" t="n">
        <f aca="false">H399-I399</f>
        <v>-0.0350561797752809</v>
      </c>
      <c r="K399" s="2" t="str">
        <f aca="false">IF(J399&lt;-Targets!$F$2,"Under",IF(J399&gt;Targets!$F$2,"Over","On Track"))</f>
        <v>On Track</v>
      </c>
    </row>
    <row r="400" customFormat="false" ht="15" hidden="false" customHeight="false" outlineLevel="0" collapsed="false">
      <c r="A400" s="17" t="n">
        <v>46296</v>
      </c>
      <c r="B400" s="18" t="s">
        <v>62</v>
      </c>
      <c r="C400" s="2" t="str">
        <f aca="false">VLOOKUP(B400,Targets!$A$2:$D$43,2,FALSE())</f>
        <v>East</v>
      </c>
      <c r="D400" s="19" t="n">
        <v>2050</v>
      </c>
      <c r="E400" s="19" t="n">
        <v>1620</v>
      </c>
      <c r="F400" s="20" t="n">
        <f aca="false">E400-D400</f>
        <v>-430</v>
      </c>
      <c r="G400" s="21" t="n">
        <f aca="false">IF(D400=0,0,F400/D400)</f>
        <v>-0.209756097560976</v>
      </c>
      <c r="H400" s="21" t="n">
        <f aca="false">IF(D400=0,0,E400/D400)</f>
        <v>0.790243902439024</v>
      </c>
      <c r="I400" s="21" t="n">
        <f aca="false">VLOOKUP(B400,Targets!$A$2:$D$43,3,FALSE())</f>
        <v>0.92</v>
      </c>
      <c r="J400" s="22" t="n">
        <f aca="false">H400-I400</f>
        <v>-0.129756097560976</v>
      </c>
      <c r="K400" s="2" t="str">
        <f aca="false">IF(J400&lt;-Targets!$F$2,"Under",IF(J400&gt;Targets!$F$2,"Over","On Track"))</f>
        <v>Under</v>
      </c>
    </row>
    <row r="401" customFormat="false" ht="15" hidden="false" customHeight="false" outlineLevel="0" collapsed="false">
      <c r="A401" s="17" t="n">
        <v>46296</v>
      </c>
      <c r="B401" s="18" t="s">
        <v>63</v>
      </c>
      <c r="C401" s="2" t="str">
        <f aca="false">VLOOKUP(B401,Targets!$A$2:$D$43,2,FALSE())</f>
        <v>West</v>
      </c>
      <c r="D401" s="19" t="n">
        <v>2590</v>
      </c>
      <c r="E401" s="19" t="n">
        <v>2256</v>
      </c>
      <c r="F401" s="20" t="n">
        <f aca="false">E401-D401</f>
        <v>-334</v>
      </c>
      <c r="G401" s="21" t="n">
        <f aca="false">IF(D401=0,0,F401/D401)</f>
        <v>-0.128957528957529</v>
      </c>
      <c r="H401" s="21" t="n">
        <f aca="false">IF(D401=0,0,E401/D401)</f>
        <v>0.871042471042471</v>
      </c>
      <c r="I401" s="21" t="n">
        <f aca="false">VLOOKUP(B401,Targets!$A$2:$D$43,3,FALSE())</f>
        <v>0.85</v>
      </c>
      <c r="J401" s="22" t="n">
        <f aca="false">H401-I401</f>
        <v>0.021042471042471</v>
      </c>
      <c r="K401" s="2" t="str">
        <f aca="false">IF(J401&lt;-Targets!$F$2,"Under",IF(J401&gt;Targets!$F$2,"Over","On Track"))</f>
        <v>On Track</v>
      </c>
    </row>
    <row r="402" customFormat="false" ht="15" hidden="false" customHeight="false" outlineLevel="0" collapsed="false">
      <c r="A402" s="17" t="n">
        <v>46296</v>
      </c>
      <c r="B402" s="18" t="s">
        <v>64</v>
      </c>
      <c r="C402" s="2" t="str">
        <f aca="false">VLOOKUP(B402,Targets!$A$2:$D$43,2,FALSE())</f>
        <v>West</v>
      </c>
      <c r="D402" s="19" t="n">
        <v>2050</v>
      </c>
      <c r="E402" s="19" t="n">
        <v>2062</v>
      </c>
      <c r="F402" s="20" t="n">
        <f aca="false">E402-D402</f>
        <v>12</v>
      </c>
      <c r="G402" s="21" t="n">
        <f aca="false">IF(D402=0,0,F402/D402)</f>
        <v>0.00585365853658537</v>
      </c>
      <c r="H402" s="21" t="n">
        <f aca="false">IF(D402=0,0,E402/D402)</f>
        <v>1.00585365853659</v>
      </c>
      <c r="I402" s="21" t="n">
        <f aca="false">VLOOKUP(B402,Targets!$A$2:$D$43,3,FALSE())</f>
        <v>0.92</v>
      </c>
      <c r="J402" s="22" t="n">
        <f aca="false">H402-I402</f>
        <v>0.0858536585365853</v>
      </c>
      <c r="K402" s="2" t="str">
        <f aca="false">IF(J402&lt;-Targets!$F$2,"Under",IF(J402&gt;Targets!$F$2,"Over","On Track"))</f>
        <v>Over</v>
      </c>
    </row>
    <row r="403" customFormat="false" ht="15" hidden="false" customHeight="false" outlineLevel="0" collapsed="false">
      <c r="A403" s="17" t="n">
        <v>46296</v>
      </c>
      <c r="B403" s="18" t="s">
        <v>65</v>
      </c>
      <c r="C403" s="2" t="str">
        <f aca="false">VLOOKUP(B403,Targets!$A$2:$D$43,2,FALSE())</f>
        <v>West</v>
      </c>
      <c r="D403" s="19" t="n">
        <v>970</v>
      </c>
      <c r="E403" s="19" t="n">
        <v>990</v>
      </c>
      <c r="F403" s="20" t="n">
        <f aca="false">E403-D403</f>
        <v>20</v>
      </c>
      <c r="G403" s="21" t="n">
        <f aca="false">IF(D403=0,0,F403/D403)</f>
        <v>0.0206185567010309</v>
      </c>
      <c r="H403" s="21" t="n">
        <f aca="false">IF(D403=0,0,E403/D403)</f>
        <v>1.02061855670103</v>
      </c>
      <c r="I403" s="21" t="n">
        <f aca="false">VLOOKUP(B403,Targets!$A$2:$D$43,3,FALSE())</f>
        <v>0.92</v>
      </c>
      <c r="J403" s="22" t="n">
        <f aca="false">H403-I403</f>
        <v>0.100618556701031</v>
      </c>
      <c r="K403" s="2" t="str">
        <f aca="false">IF(J403&lt;-Targets!$F$2,"Under",IF(J403&gt;Targets!$F$2,"Over","On Track"))</f>
        <v>Over</v>
      </c>
    </row>
    <row r="404" customFormat="false" ht="15" hidden="false" customHeight="false" outlineLevel="0" collapsed="false">
      <c r="A404" s="17" t="n">
        <v>46296</v>
      </c>
      <c r="B404" s="18" t="s">
        <v>66</v>
      </c>
      <c r="C404" s="2" t="str">
        <f aca="false">VLOOKUP(B404,Targets!$A$2:$D$43,2,FALSE())</f>
        <v>West</v>
      </c>
      <c r="D404" s="19" t="n">
        <v>1570</v>
      </c>
      <c r="E404" s="19" t="n">
        <v>1597</v>
      </c>
      <c r="F404" s="20" t="n">
        <f aca="false">E404-D404</f>
        <v>27</v>
      </c>
      <c r="G404" s="21" t="n">
        <f aca="false">IF(D404=0,0,F404/D404)</f>
        <v>0.0171974522292994</v>
      </c>
      <c r="H404" s="21" t="n">
        <f aca="false">IF(D404=0,0,E404/D404)</f>
        <v>1.0171974522293</v>
      </c>
      <c r="I404" s="21" t="n">
        <f aca="false">VLOOKUP(B404,Targets!$A$2:$D$43,3,FALSE())</f>
        <v>0.92</v>
      </c>
      <c r="J404" s="22" t="n">
        <f aca="false">H404-I404</f>
        <v>0.0971974522292994</v>
      </c>
      <c r="K404" s="2" t="str">
        <f aca="false">IF(J404&lt;-Targets!$F$2,"Under",IF(J404&gt;Targets!$F$2,"Over","On Track"))</f>
        <v>Over</v>
      </c>
    </row>
    <row r="405" customFormat="false" ht="15" hidden="false" customHeight="false" outlineLevel="0" collapsed="false">
      <c r="A405" s="17" t="n">
        <v>46296</v>
      </c>
      <c r="B405" s="18" t="s">
        <v>67</v>
      </c>
      <c r="C405" s="2" t="str">
        <f aca="false">VLOOKUP(B405,Targets!$A$2:$D$43,2,FALSE())</f>
        <v>West</v>
      </c>
      <c r="D405" s="19" t="n">
        <v>2110</v>
      </c>
      <c r="E405" s="19" t="n">
        <v>2078</v>
      </c>
      <c r="F405" s="20" t="n">
        <f aca="false">E405-D405</f>
        <v>-32</v>
      </c>
      <c r="G405" s="21" t="n">
        <f aca="false">IF(D405=0,0,F405/D405)</f>
        <v>-0.0151658767772512</v>
      </c>
      <c r="H405" s="21" t="n">
        <f aca="false">IF(D405=0,0,E405/D405)</f>
        <v>0.984834123222749</v>
      </c>
      <c r="I405" s="21" t="n">
        <f aca="false">VLOOKUP(B405,Targets!$A$2:$D$43,3,FALSE())</f>
        <v>0.92</v>
      </c>
      <c r="J405" s="22" t="n">
        <f aca="false">H405-I405</f>
        <v>0.0648341232227487</v>
      </c>
      <c r="K405" s="2" t="str">
        <f aca="false">IF(J405&lt;-Targets!$F$2,"Under",IF(J405&gt;Targets!$F$2,"Over","On Track"))</f>
        <v>Over</v>
      </c>
    </row>
    <row r="406" customFormat="false" ht="15" hidden="false" customHeight="false" outlineLevel="0" collapsed="false">
      <c r="A406" s="17" t="n">
        <v>46296</v>
      </c>
      <c r="B406" s="18" t="s">
        <v>68</v>
      </c>
      <c r="C406" s="2" t="str">
        <f aca="false">VLOOKUP(B406,Targets!$A$2:$D$43,2,FALSE())</f>
        <v>West</v>
      </c>
      <c r="D406" s="19" t="n">
        <v>2860</v>
      </c>
      <c r="E406" s="19" t="n">
        <v>2546</v>
      </c>
      <c r="F406" s="20" t="n">
        <f aca="false">E406-D406</f>
        <v>-314</v>
      </c>
      <c r="G406" s="21" t="n">
        <f aca="false">IF(D406=0,0,F406/D406)</f>
        <v>-0.10979020979021</v>
      </c>
      <c r="H406" s="21" t="n">
        <f aca="false">IF(D406=0,0,E406/D406)</f>
        <v>0.89020979020979</v>
      </c>
      <c r="I406" s="21" t="n">
        <f aca="false">VLOOKUP(B406,Targets!$A$2:$D$43,3,FALSE())</f>
        <v>0.9</v>
      </c>
      <c r="J406" s="22" t="n">
        <f aca="false">H406-I406</f>
        <v>-0.00979020979020984</v>
      </c>
      <c r="K406" s="2" t="str">
        <f aca="false">IF(J406&lt;-Targets!$F$2,"Under",IF(J406&gt;Targets!$F$2,"Over","On Track"))</f>
        <v>On Track</v>
      </c>
    </row>
    <row r="407" customFormat="false" ht="15" hidden="false" customHeight="false" outlineLevel="0" collapsed="false">
      <c r="A407" s="17" t="n">
        <v>46296</v>
      </c>
      <c r="B407" s="18" t="s">
        <v>69</v>
      </c>
      <c r="C407" s="2" t="str">
        <f aca="false">VLOOKUP(B407,Targets!$A$2:$D$43,2,FALSE())</f>
        <v>West</v>
      </c>
      <c r="D407" s="19" t="n">
        <v>2430</v>
      </c>
      <c r="E407" s="19" t="n">
        <v>2443</v>
      </c>
      <c r="F407" s="20" t="n">
        <f aca="false">E407-D407</f>
        <v>13</v>
      </c>
      <c r="G407" s="21" t="n">
        <f aca="false">IF(D407=0,0,F407/D407)</f>
        <v>0.00534979423868313</v>
      </c>
      <c r="H407" s="21" t="n">
        <f aca="false">IF(D407=0,0,E407/D407)</f>
        <v>1.00534979423868</v>
      </c>
      <c r="I407" s="21" t="n">
        <f aca="false">VLOOKUP(B407,Targets!$A$2:$D$43,3,FALSE())</f>
        <v>0.92</v>
      </c>
      <c r="J407" s="22" t="n">
        <f aca="false">H407-I407</f>
        <v>0.0853497942386831</v>
      </c>
      <c r="K407" s="2" t="str">
        <f aca="false">IF(J407&lt;-Targets!$F$2,"Under",IF(J407&gt;Targets!$F$2,"Over","On Track"))</f>
        <v>Over</v>
      </c>
    </row>
    <row r="408" customFormat="false" ht="15" hidden="false" customHeight="false" outlineLevel="0" collapsed="false">
      <c r="A408" s="17" t="n">
        <v>46296</v>
      </c>
      <c r="B408" s="18" t="s">
        <v>70</v>
      </c>
      <c r="C408" s="2" t="str">
        <f aca="false">VLOOKUP(B408,Targets!$A$2:$D$43,2,FALSE())</f>
        <v>Central</v>
      </c>
      <c r="D408" s="19" t="n">
        <v>2000</v>
      </c>
      <c r="E408" s="19" t="n">
        <v>1772</v>
      </c>
      <c r="F408" s="20" t="n">
        <f aca="false">E408-D408</f>
        <v>-228</v>
      </c>
      <c r="G408" s="21" t="n">
        <f aca="false">IF(D408=0,0,F408/D408)</f>
        <v>-0.114</v>
      </c>
      <c r="H408" s="21" t="n">
        <f aca="false">IF(D408=0,0,E408/D408)</f>
        <v>0.886</v>
      </c>
      <c r="I408" s="21" t="n">
        <f aca="false">VLOOKUP(B408,Targets!$A$2:$D$43,3,FALSE())</f>
        <v>0.9</v>
      </c>
      <c r="J408" s="22" t="n">
        <f aca="false">H408-I408</f>
        <v>-0.014</v>
      </c>
      <c r="K408" s="2" t="str">
        <f aca="false">IF(J408&lt;-Targets!$F$2,"Under",IF(J408&gt;Targets!$F$2,"Over","On Track"))</f>
        <v>On Track</v>
      </c>
    </row>
    <row r="409" customFormat="false" ht="15" hidden="false" customHeight="false" outlineLevel="0" collapsed="false">
      <c r="A409" s="17" t="n">
        <v>46296</v>
      </c>
      <c r="B409" s="18" t="s">
        <v>71</v>
      </c>
      <c r="C409" s="2" t="str">
        <f aca="false">VLOOKUP(B409,Targets!$A$2:$D$43,2,FALSE())</f>
        <v>Central</v>
      </c>
      <c r="D409" s="19" t="n">
        <v>1400</v>
      </c>
      <c r="E409" s="19" t="n">
        <v>1153</v>
      </c>
      <c r="F409" s="20" t="n">
        <f aca="false">E409-D409</f>
        <v>-247</v>
      </c>
      <c r="G409" s="21" t="n">
        <f aca="false">IF(D409=0,0,F409/D409)</f>
        <v>-0.176428571428571</v>
      </c>
      <c r="H409" s="21" t="n">
        <f aca="false">IF(D409=0,0,E409/D409)</f>
        <v>0.823571428571429</v>
      </c>
      <c r="I409" s="21" t="n">
        <f aca="false">VLOOKUP(B409,Targets!$A$2:$D$43,3,FALSE())</f>
        <v>0.85</v>
      </c>
      <c r="J409" s="22" t="n">
        <f aca="false">H409-I409</f>
        <v>-0.0264285714285714</v>
      </c>
      <c r="K409" s="2" t="str">
        <f aca="false">IF(J409&lt;-Targets!$F$2,"Under",IF(J409&gt;Targets!$F$2,"Over","On Track"))</f>
        <v>On Track</v>
      </c>
    </row>
    <row r="410" customFormat="false" ht="15" hidden="false" customHeight="false" outlineLevel="0" collapsed="false">
      <c r="A410" s="17" t="n">
        <v>46296</v>
      </c>
      <c r="B410" s="18" t="s">
        <v>72</v>
      </c>
      <c r="C410" s="2" t="str">
        <f aca="false">VLOOKUP(B410,Targets!$A$2:$D$43,2,FALSE())</f>
        <v>Central</v>
      </c>
      <c r="D410" s="19" t="n">
        <v>2920</v>
      </c>
      <c r="E410" s="19" t="n">
        <v>2190</v>
      </c>
      <c r="F410" s="20" t="n">
        <f aca="false">E410-D410</f>
        <v>-730</v>
      </c>
      <c r="G410" s="21" t="n">
        <f aca="false">IF(D410=0,0,F410/D410)</f>
        <v>-0.25</v>
      </c>
      <c r="H410" s="21" t="n">
        <f aca="false">IF(D410=0,0,E410/D410)</f>
        <v>0.75</v>
      </c>
      <c r="I410" s="21" t="n">
        <f aca="false">VLOOKUP(B410,Targets!$A$2:$D$43,3,FALSE())</f>
        <v>0.85</v>
      </c>
      <c r="J410" s="22" t="n">
        <f aca="false">H410-I410</f>
        <v>-0.1</v>
      </c>
      <c r="K410" s="2" t="str">
        <f aca="false">IF(J410&lt;-Targets!$F$2,"Under",IF(J410&gt;Targets!$F$2,"Over","On Track"))</f>
        <v>Under</v>
      </c>
    </row>
    <row r="411" customFormat="false" ht="15" hidden="false" customHeight="false" outlineLevel="0" collapsed="false">
      <c r="A411" s="17" t="n">
        <v>46296</v>
      </c>
      <c r="B411" s="18" t="s">
        <v>73</v>
      </c>
      <c r="C411" s="2" t="str">
        <f aca="false">VLOOKUP(B411,Targets!$A$2:$D$43,2,FALSE())</f>
        <v>Central</v>
      </c>
      <c r="D411" s="19" t="n">
        <v>1400</v>
      </c>
      <c r="E411" s="19" t="n">
        <v>1161</v>
      </c>
      <c r="F411" s="20" t="n">
        <f aca="false">E411-D411</f>
        <v>-239</v>
      </c>
      <c r="G411" s="21" t="n">
        <f aca="false">IF(D411=0,0,F411/D411)</f>
        <v>-0.170714285714286</v>
      </c>
      <c r="H411" s="21" t="n">
        <f aca="false">IF(D411=0,0,E411/D411)</f>
        <v>0.829285714285714</v>
      </c>
      <c r="I411" s="21" t="n">
        <f aca="false">VLOOKUP(B411,Targets!$A$2:$D$43,3,FALSE())</f>
        <v>0.85</v>
      </c>
      <c r="J411" s="22" t="n">
        <f aca="false">H411-I411</f>
        <v>-0.0207142857142857</v>
      </c>
      <c r="K411" s="2" t="str">
        <f aca="false">IF(J411&lt;-Targets!$F$2,"Under",IF(J411&gt;Targets!$F$2,"Over","On Track"))</f>
        <v>On Track</v>
      </c>
    </row>
    <row r="412" customFormat="false" ht="15" hidden="false" customHeight="false" outlineLevel="0" collapsed="false">
      <c r="A412" s="17" t="n">
        <v>46296</v>
      </c>
      <c r="B412" s="18" t="s">
        <v>74</v>
      </c>
      <c r="C412" s="2" t="str">
        <f aca="false">VLOOKUP(B412,Targets!$A$2:$D$43,2,FALSE())</f>
        <v>Central</v>
      </c>
      <c r="D412" s="19" t="n">
        <v>2750</v>
      </c>
      <c r="E412" s="19" t="n">
        <v>2421</v>
      </c>
      <c r="F412" s="20" t="n">
        <f aca="false">E412-D412</f>
        <v>-329</v>
      </c>
      <c r="G412" s="21" t="n">
        <f aca="false">IF(D412=0,0,F412/D412)</f>
        <v>-0.119636363636364</v>
      </c>
      <c r="H412" s="21" t="n">
        <f aca="false">IF(D412=0,0,E412/D412)</f>
        <v>0.880363636363636</v>
      </c>
      <c r="I412" s="21" t="n">
        <f aca="false">VLOOKUP(B412,Targets!$A$2:$D$43,3,FALSE())</f>
        <v>0.85</v>
      </c>
      <c r="J412" s="22" t="n">
        <f aca="false">H412-I412</f>
        <v>0.0303636363636364</v>
      </c>
      <c r="K412" s="2" t="str">
        <f aca="false">IF(J412&lt;-Targets!$F$2,"Under",IF(J412&gt;Targets!$F$2,"Over","On Track"))</f>
        <v>On Track</v>
      </c>
    </row>
    <row r="413" customFormat="false" ht="15" hidden="false" customHeight="false" outlineLevel="0" collapsed="false">
      <c r="A413" s="17" t="n">
        <v>46296</v>
      </c>
      <c r="B413" s="18" t="s">
        <v>75</v>
      </c>
      <c r="C413" s="2" t="str">
        <f aca="false">VLOOKUP(B413,Targets!$A$2:$D$43,2,FALSE())</f>
        <v>Central</v>
      </c>
      <c r="D413" s="19" t="n">
        <v>2160</v>
      </c>
      <c r="E413" s="19" t="n">
        <v>1894</v>
      </c>
      <c r="F413" s="20" t="n">
        <f aca="false">E413-D413</f>
        <v>-266</v>
      </c>
      <c r="G413" s="21" t="n">
        <f aca="false">IF(D413=0,0,F413/D413)</f>
        <v>-0.123148148148148</v>
      </c>
      <c r="H413" s="21" t="n">
        <f aca="false">IF(D413=0,0,E413/D413)</f>
        <v>0.876851851851852</v>
      </c>
      <c r="I413" s="21" t="n">
        <f aca="false">VLOOKUP(B413,Targets!$A$2:$D$43,3,FALSE())</f>
        <v>0.88</v>
      </c>
      <c r="J413" s="22" t="n">
        <f aca="false">H413-I413</f>
        <v>-0.00314814814814812</v>
      </c>
      <c r="K413" s="2" t="str">
        <f aca="false">IF(J413&lt;-Targets!$F$2,"Under",IF(J413&gt;Targets!$F$2,"Over","On Track"))</f>
        <v>On Track</v>
      </c>
    </row>
    <row r="414" customFormat="false" ht="15" hidden="false" customHeight="false" outlineLevel="0" collapsed="false">
      <c r="A414" s="17" t="n">
        <v>46296</v>
      </c>
      <c r="B414" s="18" t="s">
        <v>76</v>
      </c>
      <c r="C414" s="2" t="str">
        <f aca="false">VLOOKUP(B414,Targets!$A$2:$D$43,2,FALSE())</f>
        <v>Central</v>
      </c>
      <c r="D414" s="19" t="n">
        <v>2320</v>
      </c>
      <c r="E414" s="19" t="n">
        <v>1969</v>
      </c>
      <c r="F414" s="20" t="n">
        <f aca="false">E414-D414</f>
        <v>-351</v>
      </c>
      <c r="G414" s="21" t="n">
        <f aca="false">IF(D414=0,0,F414/D414)</f>
        <v>-0.151293103448276</v>
      </c>
      <c r="H414" s="21" t="n">
        <f aca="false">IF(D414=0,0,E414/D414)</f>
        <v>0.848706896551724</v>
      </c>
      <c r="I414" s="21" t="n">
        <f aca="false">VLOOKUP(B414,Targets!$A$2:$D$43,3,FALSE())</f>
        <v>0.9</v>
      </c>
      <c r="J414" s="22" t="n">
        <f aca="false">H414-I414</f>
        <v>-0.0512931034482759</v>
      </c>
      <c r="K414" s="2" t="str">
        <f aca="false">IF(J414&lt;-Targets!$F$2,"Under",IF(J414&gt;Targets!$F$2,"Over","On Track"))</f>
        <v>Under</v>
      </c>
    </row>
    <row r="415" customFormat="false" ht="15" hidden="false" customHeight="false" outlineLevel="0" collapsed="false">
      <c r="A415" s="17" t="n">
        <v>46296</v>
      </c>
      <c r="B415" s="18" t="s">
        <v>77</v>
      </c>
      <c r="C415" s="2" t="str">
        <f aca="false">VLOOKUP(B415,Targets!$A$2:$D$43,2,FALSE())</f>
        <v>North-East</v>
      </c>
      <c r="D415" s="19" t="n">
        <v>1890</v>
      </c>
      <c r="E415" s="19" t="n">
        <v>1582</v>
      </c>
      <c r="F415" s="20" t="n">
        <f aca="false">E415-D415</f>
        <v>-308</v>
      </c>
      <c r="G415" s="21" t="n">
        <f aca="false">IF(D415=0,0,F415/D415)</f>
        <v>-0.162962962962963</v>
      </c>
      <c r="H415" s="21" t="n">
        <f aca="false">IF(D415=0,0,E415/D415)</f>
        <v>0.837037037037037</v>
      </c>
      <c r="I415" s="21" t="n">
        <f aca="false">VLOOKUP(B415,Targets!$A$2:$D$43,3,FALSE())</f>
        <v>0.88</v>
      </c>
      <c r="J415" s="22" t="n">
        <f aca="false">H415-I415</f>
        <v>-0.042962962962963</v>
      </c>
      <c r="K415" s="2" t="str">
        <f aca="false">IF(J415&lt;-Targets!$F$2,"Under",IF(J415&gt;Targets!$F$2,"Over","On Track"))</f>
        <v>On Track</v>
      </c>
    </row>
    <row r="416" customFormat="false" ht="15" hidden="false" customHeight="false" outlineLevel="0" collapsed="false">
      <c r="A416" s="17" t="n">
        <v>46296</v>
      </c>
      <c r="B416" s="18" t="s">
        <v>78</v>
      </c>
      <c r="C416" s="2" t="str">
        <f aca="false">VLOOKUP(B416,Targets!$A$2:$D$43,2,FALSE())</f>
        <v>North-East</v>
      </c>
      <c r="D416" s="19" t="n">
        <v>1460</v>
      </c>
      <c r="E416" s="19" t="n">
        <v>1241</v>
      </c>
      <c r="F416" s="20" t="n">
        <f aca="false">E416-D416</f>
        <v>-219</v>
      </c>
      <c r="G416" s="21" t="n">
        <f aca="false">IF(D416=0,0,F416/D416)</f>
        <v>-0.15</v>
      </c>
      <c r="H416" s="21" t="n">
        <f aca="false">IF(D416=0,0,E416/D416)</f>
        <v>0.85</v>
      </c>
      <c r="I416" s="21" t="n">
        <f aca="false">VLOOKUP(B416,Targets!$A$2:$D$43,3,FALSE())</f>
        <v>0.92</v>
      </c>
      <c r="J416" s="22" t="n">
        <f aca="false">H416-I416</f>
        <v>-0.0700000000000001</v>
      </c>
      <c r="K416" s="2" t="str">
        <f aca="false">IF(J416&lt;-Targets!$F$2,"Under",IF(J416&gt;Targets!$F$2,"Over","On Track"))</f>
        <v>Under</v>
      </c>
    </row>
    <row r="417" customFormat="false" ht="15" hidden="false" customHeight="false" outlineLevel="0" collapsed="false">
      <c r="A417" s="17" t="n">
        <v>46296</v>
      </c>
      <c r="B417" s="18" t="s">
        <v>79</v>
      </c>
      <c r="C417" s="2" t="str">
        <f aca="false">VLOOKUP(B417,Targets!$A$2:$D$43,2,FALSE())</f>
        <v>North-East</v>
      </c>
      <c r="D417" s="19" t="n">
        <v>1350</v>
      </c>
      <c r="E417" s="19" t="n">
        <v>1160</v>
      </c>
      <c r="F417" s="20" t="n">
        <f aca="false">E417-D417</f>
        <v>-190</v>
      </c>
      <c r="G417" s="21" t="n">
        <f aca="false">IF(D417=0,0,F417/D417)</f>
        <v>-0.140740740740741</v>
      </c>
      <c r="H417" s="21" t="n">
        <f aca="false">IF(D417=0,0,E417/D417)</f>
        <v>0.859259259259259</v>
      </c>
      <c r="I417" s="21" t="n">
        <f aca="false">VLOOKUP(B417,Targets!$A$2:$D$43,3,FALSE())</f>
        <v>0.92</v>
      </c>
      <c r="J417" s="22" t="n">
        <f aca="false">H417-I417</f>
        <v>-0.0607407407407408</v>
      </c>
      <c r="K417" s="2" t="str">
        <f aca="false">IF(J417&lt;-Targets!$F$2,"Under",IF(J417&gt;Targets!$F$2,"Over","On Track"))</f>
        <v>Under</v>
      </c>
    </row>
    <row r="418" customFormat="false" ht="15" hidden="false" customHeight="false" outlineLevel="0" collapsed="false">
      <c r="A418" s="17" t="n">
        <v>46296</v>
      </c>
      <c r="B418" s="18" t="s">
        <v>80</v>
      </c>
      <c r="C418" s="2" t="str">
        <f aca="false">VLOOKUP(B418,Targets!$A$2:$D$43,2,FALSE())</f>
        <v>North-East</v>
      </c>
      <c r="D418" s="19" t="n">
        <v>2540</v>
      </c>
      <c r="E418" s="19" t="n">
        <v>2164</v>
      </c>
      <c r="F418" s="20" t="n">
        <f aca="false">E418-D418</f>
        <v>-376</v>
      </c>
      <c r="G418" s="21" t="n">
        <f aca="false">IF(D418=0,0,F418/D418)</f>
        <v>-0.148031496062992</v>
      </c>
      <c r="H418" s="21" t="n">
        <f aca="false">IF(D418=0,0,E418/D418)</f>
        <v>0.851968503937008</v>
      </c>
      <c r="I418" s="21" t="n">
        <f aca="false">VLOOKUP(B418,Targets!$A$2:$D$43,3,FALSE())</f>
        <v>0.88</v>
      </c>
      <c r="J418" s="22" t="n">
        <f aca="false">H418-I418</f>
        <v>-0.0280314960629922</v>
      </c>
      <c r="K418" s="2" t="str">
        <f aca="false">IF(J418&lt;-Targets!$F$2,"Under",IF(J418&gt;Targets!$F$2,"Over","On Track"))</f>
        <v>On Track</v>
      </c>
    </row>
    <row r="419" customFormat="false" ht="15" hidden="false" customHeight="false" outlineLevel="0" collapsed="false">
      <c r="A419" s="17" t="n">
        <v>46296</v>
      </c>
      <c r="B419" s="18" t="s">
        <v>81</v>
      </c>
      <c r="C419" s="2" t="str">
        <f aca="false">VLOOKUP(B419,Targets!$A$2:$D$43,2,FALSE())</f>
        <v>North-East</v>
      </c>
      <c r="D419" s="19" t="n">
        <v>1620</v>
      </c>
      <c r="E419" s="19" t="n">
        <v>1340</v>
      </c>
      <c r="F419" s="20" t="n">
        <f aca="false">E419-D419</f>
        <v>-280</v>
      </c>
      <c r="G419" s="21" t="n">
        <f aca="false">IF(D419=0,0,F419/D419)</f>
        <v>-0.17283950617284</v>
      </c>
      <c r="H419" s="21" t="n">
        <f aca="false">IF(D419=0,0,E419/D419)</f>
        <v>0.827160493827161</v>
      </c>
      <c r="I419" s="21" t="n">
        <f aca="false">VLOOKUP(B419,Targets!$A$2:$D$43,3,FALSE())</f>
        <v>0.88</v>
      </c>
      <c r="J419" s="22" t="n">
        <f aca="false">H419-I419</f>
        <v>-0.0528395061728395</v>
      </c>
      <c r="K419" s="2" t="str">
        <f aca="false">IF(J419&lt;-Targets!$F$2,"Under",IF(J419&gt;Targets!$F$2,"Over","On Track"))</f>
        <v>Under</v>
      </c>
    </row>
    <row r="420" customFormat="false" ht="15" hidden="false" customHeight="false" outlineLevel="0" collapsed="false">
      <c r="A420" s="17" t="n">
        <v>46296</v>
      </c>
      <c r="B420" s="18" t="s">
        <v>82</v>
      </c>
      <c r="C420" s="2" t="str">
        <f aca="false">VLOOKUP(B420,Targets!$A$2:$D$43,2,FALSE())</f>
        <v>North-East</v>
      </c>
      <c r="D420" s="19" t="n">
        <v>970</v>
      </c>
      <c r="E420" s="19" t="n">
        <v>760</v>
      </c>
      <c r="F420" s="20" t="n">
        <f aca="false">E420-D420</f>
        <v>-210</v>
      </c>
      <c r="G420" s="21" t="n">
        <f aca="false">IF(D420=0,0,F420/D420)</f>
        <v>-0.216494845360825</v>
      </c>
      <c r="H420" s="21" t="n">
        <f aca="false">IF(D420=0,0,E420/D420)</f>
        <v>0.783505154639175</v>
      </c>
      <c r="I420" s="21" t="n">
        <f aca="false">VLOOKUP(B420,Targets!$A$2:$D$43,3,FALSE())</f>
        <v>0.85</v>
      </c>
      <c r="J420" s="22" t="n">
        <f aca="false">H420-I420</f>
        <v>-0.0664948453608247</v>
      </c>
      <c r="K420" s="2" t="str">
        <f aca="false">IF(J420&lt;-Targets!$F$2,"Under",IF(J420&gt;Targets!$F$2,"Over","On Track"))</f>
        <v>Under</v>
      </c>
    </row>
    <row r="421" customFormat="false" ht="15" hidden="false" customHeight="false" outlineLevel="0" collapsed="false">
      <c r="A421" s="17" t="n">
        <v>46296</v>
      </c>
      <c r="B421" s="18" t="s">
        <v>83</v>
      </c>
      <c r="C421" s="2" t="str">
        <f aca="false">VLOOKUP(B421,Targets!$A$2:$D$43,2,FALSE())</f>
        <v>North-East</v>
      </c>
      <c r="D421" s="19" t="n">
        <v>1400</v>
      </c>
      <c r="E421" s="19" t="n">
        <v>1161</v>
      </c>
      <c r="F421" s="20" t="n">
        <f aca="false">E421-D421</f>
        <v>-239</v>
      </c>
      <c r="G421" s="21" t="n">
        <f aca="false">IF(D421=0,0,F421/D421)</f>
        <v>-0.170714285714286</v>
      </c>
      <c r="H421" s="21" t="n">
        <f aca="false">IF(D421=0,0,E421/D421)</f>
        <v>0.829285714285714</v>
      </c>
      <c r="I421" s="21" t="n">
        <f aca="false">VLOOKUP(B421,Targets!$A$2:$D$43,3,FALSE())</f>
        <v>0.88</v>
      </c>
      <c r="J421" s="22" t="n">
        <f aca="false">H421-I421</f>
        <v>-0.0507142857142857</v>
      </c>
      <c r="K421" s="2" t="str">
        <f aca="false">IF(J421&lt;-Targets!$F$2,"Under",IF(J421&gt;Targets!$F$2,"Over","On Track"))</f>
        <v>Under</v>
      </c>
    </row>
    <row r="422" customFormat="false" ht="15" hidden="false" customHeight="false" outlineLevel="0" collapsed="false">
      <c r="A422" s="17" t="n">
        <v>46327</v>
      </c>
      <c r="B422" s="18" t="s">
        <v>41</v>
      </c>
      <c r="C422" s="2" t="str">
        <f aca="false">VLOOKUP(B422,Targets!$A$2:$D$43,2,FALSE())</f>
        <v>North</v>
      </c>
      <c r="D422" s="19" t="n">
        <v>2920</v>
      </c>
      <c r="E422" s="19" t="n">
        <v>2451</v>
      </c>
      <c r="F422" s="20" t="n">
        <f aca="false">E422-D422</f>
        <v>-469</v>
      </c>
      <c r="G422" s="21" t="n">
        <f aca="false">IF(D422=0,0,F422/D422)</f>
        <v>-0.160616438356164</v>
      </c>
      <c r="H422" s="21" t="n">
        <f aca="false">IF(D422=0,0,E422/D422)</f>
        <v>0.839383561643836</v>
      </c>
      <c r="I422" s="21" t="n">
        <f aca="false">VLOOKUP(B422,Targets!$A$2:$D$43,3,FALSE())</f>
        <v>0.88</v>
      </c>
      <c r="J422" s="22" t="n">
        <f aca="false">H422-I422</f>
        <v>-0.0406164383561644</v>
      </c>
      <c r="K422" s="2" t="str">
        <f aca="false">IF(J422&lt;-Targets!$F$2,"Under",IF(J422&gt;Targets!$F$2,"Over","On Track"))</f>
        <v>On Track</v>
      </c>
    </row>
    <row r="423" customFormat="false" ht="15" hidden="false" customHeight="false" outlineLevel="0" collapsed="false">
      <c r="A423" s="17" t="n">
        <v>46327</v>
      </c>
      <c r="B423" s="18" t="s">
        <v>42</v>
      </c>
      <c r="C423" s="2" t="str">
        <f aca="false">VLOOKUP(B423,Targets!$A$2:$D$43,2,FALSE())</f>
        <v>North</v>
      </c>
      <c r="D423" s="19" t="n">
        <v>2480</v>
      </c>
      <c r="E423" s="19" t="n">
        <v>2060</v>
      </c>
      <c r="F423" s="20" t="n">
        <f aca="false">E423-D423</f>
        <v>-420</v>
      </c>
      <c r="G423" s="21" t="n">
        <f aca="false">IF(D423=0,0,F423/D423)</f>
        <v>-0.169354838709677</v>
      </c>
      <c r="H423" s="21" t="n">
        <f aca="false">IF(D423=0,0,E423/D423)</f>
        <v>0.830645161290323</v>
      </c>
      <c r="I423" s="21" t="n">
        <f aca="false">VLOOKUP(B423,Targets!$A$2:$D$43,3,FALSE())</f>
        <v>0.88</v>
      </c>
      <c r="J423" s="22" t="n">
        <f aca="false">H423-I423</f>
        <v>-0.0493548387096774</v>
      </c>
      <c r="K423" s="2" t="str">
        <f aca="false">IF(J423&lt;-Targets!$F$2,"Under",IF(J423&gt;Targets!$F$2,"Over","On Track"))</f>
        <v>On Track</v>
      </c>
    </row>
    <row r="424" customFormat="false" ht="15" hidden="false" customHeight="false" outlineLevel="0" collapsed="false">
      <c r="A424" s="17" t="n">
        <v>46327</v>
      </c>
      <c r="B424" s="18" t="s">
        <v>44</v>
      </c>
      <c r="C424" s="2" t="str">
        <f aca="false">VLOOKUP(B424,Targets!$A$2:$D$43,2,FALSE())</f>
        <v>North</v>
      </c>
      <c r="D424" s="19" t="n">
        <v>2750</v>
      </c>
      <c r="E424" s="19" t="n">
        <v>2486</v>
      </c>
      <c r="F424" s="20" t="n">
        <f aca="false">E424-D424</f>
        <v>-264</v>
      </c>
      <c r="G424" s="21" t="n">
        <f aca="false">IF(D424=0,0,F424/D424)</f>
        <v>-0.096</v>
      </c>
      <c r="H424" s="21" t="n">
        <f aca="false">IF(D424=0,0,E424/D424)</f>
        <v>0.904</v>
      </c>
      <c r="I424" s="21" t="n">
        <f aca="false">VLOOKUP(B424,Targets!$A$2:$D$43,3,FALSE())</f>
        <v>0.88</v>
      </c>
      <c r="J424" s="22" t="n">
        <f aca="false">H424-I424</f>
        <v>0.024</v>
      </c>
      <c r="K424" s="2" t="str">
        <f aca="false">IF(J424&lt;-Targets!$F$2,"Under",IF(J424&gt;Targets!$F$2,"Over","On Track"))</f>
        <v>On Track</v>
      </c>
    </row>
    <row r="425" customFormat="false" ht="15" hidden="false" customHeight="false" outlineLevel="0" collapsed="false">
      <c r="A425" s="17" t="n">
        <v>46327</v>
      </c>
      <c r="B425" s="18" t="s">
        <v>45</v>
      </c>
      <c r="C425" s="2" t="str">
        <f aca="false">VLOOKUP(B425,Targets!$A$2:$D$43,2,FALSE())</f>
        <v>North</v>
      </c>
      <c r="D425" s="19" t="n">
        <v>1210</v>
      </c>
      <c r="E425" s="19" t="n">
        <v>1029</v>
      </c>
      <c r="F425" s="20" t="n">
        <f aca="false">E425-D425</f>
        <v>-181</v>
      </c>
      <c r="G425" s="21" t="n">
        <f aca="false">IF(D425=0,0,F425/D425)</f>
        <v>-0.149586776859504</v>
      </c>
      <c r="H425" s="21" t="n">
        <f aca="false">IF(D425=0,0,E425/D425)</f>
        <v>0.850413223140496</v>
      </c>
      <c r="I425" s="21" t="n">
        <f aca="false">VLOOKUP(B425,Targets!$A$2:$D$43,3,FALSE())</f>
        <v>0.88</v>
      </c>
      <c r="J425" s="22" t="n">
        <f aca="false">H425-I425</f>
        <v>-0.0295867768595042</v>
      </c>
      <c r="K425" s="2" t="str">
        <f aca="false">IF(J425&lt;-Targets!$F$2,"Under",IF(J425&gt;Targets!$F$2,"Over","On Track"))</f>
        <v>On Track</v>
      </c>
    </row>
    <row r="426" customFormat="false" ht="15" hidden="false" customHeight="false" outlineLevel="0" collapsed="false">
      <c r="A426" s="17" t="n">
        <v>46327</v>
      </c>
      <c r="B426" s="18" t="s">
        <v>46</v>
      </c>
      <c r="C426" s="2" t="str">
        <f aca="false">VLOOKUP(B426,Targets!$A$2:$D$43,2,FALSE())</f>
        <v>North</v>
      </c>
      <c r="D426" s="19" t="n">
        <v>2580</v>
      </c>
      <c r="E426" s="19" t="n">
        <v>2342</v>
      </c>
      <c r="F426" s="20" t="n">
        <f aca="false">E426-D426</f>
        <v>-238</v>
      </c>
      <c r="G426" s="21" t="n">
        <f aca="false">IF(D426=0,0,F426/D426)</f>
        <v>-0.0922480620155039</v>
      </c>
      <c r="H426" s="21" t="n">
        <f aca="false">IF(D426=0,0,E426/D426)</f>
        <v>0.907751937984496</v>
      </c>
      <c r="I426" s="21" t="n">
        <f aca="false">VLOOKUP(B426,Targets!$A$2:$D$43,3,FALSE())</f>
        <v>0.88</v>
      </c>
      <c r="J426" s="22" t="n">
        <f aca="false">H426-I426</f>
        <v>0.0277519379844962</v>
      </c>
      <c r="K426" s="2" t="str">
        <f aca="false">IF(J426&lt;-Targets!$F$2,"Under",IF(J426&gt;Targets!$F$2,"Over","On Track"))</f>
        <v>On Track</v>
      </c>
    </row>
    <row r="427" customFormat="false" ht="15" hidden="false" customHeight="false" outlineLevel="0" collapsed="false">
      <c r="A427" s="17" t="n">
        <v>46327</v>
      </c>
      <c r="B427" s="18" t="s">
        <v>47</v>
      </c>
      <c r="C427" s="2" t="str">
        <f aca="false">VLOOKUP(B427,Targets!$A$2:$D$43,2,FALSE())</f>
        <v>North</v>
      </c>
      <c r="D427" s="19" t="n">
        <v>3470</v>
      </c>
      <c r="E427" s="19" t="n">
        <v>2806</v>
      </c>
      <c r="F427" s="20" t="n">
        <f aca="false">E427-D427</f>
        <v>-664</v>
      </c>
      <c r="G427" s="21" t="n">
        <f aca="false">IF(D427=0,0,F427/D427)</f>
        <v>-0.19135446685879</v>
      </c>
      <c r="H427" s="21" t="n">
        <f aca="false">IF(D427=0,0,E427/D427)</f>
        <v>0.80864553314121</v>
      </c>
      <c r="I427" s="21" t="n">
        <f aca="false">VLOOKUP(B427,Targets!$A$2:$D$43,3,FALSE())</f>
        <v>0.9</v>
      </c>
      <c r="J427" s="22" t="n">
        <f aca="false">H427-I427</f>
        <v>-0.0913544668587897</v>
      </c>
      <c r="K427" s="2" t="str">
        <f aca="false">IF(J427&lt;-Targets!$F$2,"Under",IF(J427&gt;Targets!$F$2,"Over","On Track"))</f>
        <v>Under</v>
      </c>
    </row>
    <row r="428" customFormat="false" ht="15" hidden="false" customHeight="false" outlineLevel="0" collapsed="false">
      <c r="A428" s="17" t="n">
        <v>46327</v>
      </c>
      <c r="B428" s="18" t="s">
        <v>48</v>
      </c>
      <c r="C428" s="2" t="str">
        <f aca="false">VLOOKUP(B428,Targets!$A$2:$D$43,2,FALSE())</f>
        <v>North</v>
      </c>
      <c r="D428" s="19" t="n">
        <v>2040</v>
      </c>
      <c r="E428" s="19" t="n">
        <v>1856</v>
      </c>
      <c r="F428" s="20" t="n">
        <f aca="false">E428-D428</f>
        <v>-184</v>
      </c>
      <c r="G428" s="21" t="n">
        <f aca="false">IF(D428=0,0,F428/D428)</f>
        <v>-0.0901960784313726</v>
      </c>
      <c r="H428" s="21" t="n">
        <f aca="false">IF(D428=0,0,E428/D428)</f>
        <v>0.909803921568627</v>
      </c>
      <c r="I428" s="21" t="n">
        <f aca="false">VLOOKUP(B428,Targets!$A$2:$D$43,3,FALSE())</f>
        <v>0.85</v>
      </c>
      <c r="J428" s="22" t="n">
        <f aca="false">H428-I428</f>
        <v>0.0598039215686275</v>
      </c>
      <c r="K428" s="2" t="str">
        <f aca="false">IF(J428&lt;-Targets!$F$2,"Under",IF(J428&gt;Targets!$F$2,"Over","On Track"))</f>
        <v>Over</v>
      </c>
    </row>
    <row r="429" customFormat="false" ht="15" hidden="false" customHeight="false" outlineLevel="0" collapsed="false">
      <c r="A429" s="17" t="n">
        <v>46327</v>
      </c>
      <c r="B429" s="18" t="s">
        <v>49</v>
      </c>
      <c r="C429" s="2" t="str">
        <f aca="false">VLOOKUP(B429,Targets!$A$2:$D$43,2,FALSE())</f>
        <v>South</v>
      </c>
      <c r="D429" s="19" t="n">
        <v>1260</v>
      </c>
      <c r="E429" s="19" t="n">
        <v>1040</v>
      </c>
      <c r="F429" s="20" t="n">
        <f aca="false">E429-D429</f>
        <v>-220</v>
      </c>
      <c r="G429" s="21" t="n">
        <f aca="false">IF(D429=0,0,F429/D429)</f>
        <v>-0.174603174603175</v>
      </c>
      <c r="H429" s="21" t="n">
        <f aca="false">IF(D429=0,0,E429/D429)</f>
        <v>0.825396825396825</v>
      </c>
      <c r="I429" s="21" t="n">
        <f aca="false">VLOOKUP(B429,Targets!$A$2:$D$43,3,FALSE())</f>
        <v>0.92</v>
      </c>
      <c r="J429" s="22" t="n">
        <f aca="false">H429-I429</f>
        <v>-0.0946031746031747</v>
      </c>
      <c r="K429" s="2" t="str">
        <f aca="false">IF(J429&lt;-Targets!$F$2,"Under",IF(J429&gt;Targets!$F$2,"Over","On Track"))</f>
        <v>Under</v>
      </c>
    </row>
    <row r="430" customFormat="false" ht="15" hidden="false" customHeight="false" outlineLevel="0" collapsed="false">
      <c r="A430" s="17" t="n">
        <v>46327</v>
      </c>
      <c r="B430" s="18" t="s">
        <v>50</v>
      </c>
      <c r="C430" s="2" t="str">
        <f aca="false">VLOOKUP(B430,Targets!$A$2:$D$43,2,FALSE())</f>
        <v>South</v>
      </c>
      <c r="D430" s="19" t="n">
        <v>3410</v>
      </c>
      <c r="E430" s="19" t="n">
        <v>3045</v>
      </c>
      <c r="F430" s="20" t="n">
        <f aca="false">E430-D430</f>
        <v>-365</v>
      </c>
      <c r="G430" s="21" t="n">
        <f aca="false">IF(D430=0,0,F430/D430)</f>
        <v>-0.107038123167155</v>
      </c>
      <c r="H430" s="21" t="n">
        <f aca="false">IF(D430=0,0,E430/D430)</f>
        <v>0.892961876832845</v>
      </c>
      <c r="I430" s="21" t="n">
        <f aca="false">VLOOKUP(B430,Targets!$A$2:$D$43,3,FALSE())</f>
        <v>0.9</v>
      </c>
      <c r="J430" s="22" t="n">
        <f aca="false">H430-I430</f>
        <v>-0.00703812316715546</v>
      </c>
      <c r="K430" s="2" t="str">
        <f aca="false">IF(J430&lt;-Targets!$F$2,"Under",IF(J430&gt;Targets!$F$2,"Over","On Track"))</f>
        <v>On Track</v>
      </c>
    </row>
    <row r="431" customFormat="false" ht="15" hidden="false" customHeight="false" outlineLevel="0" collapsed="false">
      <c r="A431" s="17" t="n">
        <v>46327</v>
      </c>
      <c r="B431" s="18" t="s">
        <v>51</v>
      </c>
      <c r="C431" s="2" t="str">
        <f aca="false">VLOOKUP(B431,Targets!$A$2:$D$43,2,FALSE())</f>
        <v>South</v>
      </c>
      <c r="D431" s="19" t="n">
        <v>2700</v>
      </c>
      <c r="E431" s="19" t="n">
        <v>1909</v>
      </c>
      <c r="F431" s="20" t="n">
        <f aca="false">E431-D431</f>
        <v>-791</v>
      </c>
      <c r="G431" s="21" t="n">
        <f aca="false">IF(D431=0,0,F431/D431)</f>
        <v>-0.292962962962963</v>
      </c>
      <c r="H431" s="21" t="n">
        <f aca="false">IF(D431=0,0,E431/D431)</f>
        <v>0.707037037037037</v>
      </c>
      <c r="I431" s="21" t="n">
        <f aca="false">VLOOKUP(B431,Targets!$A$2:$D$43,3,FALSE())</f>
        <v>0.92</v>
      </c>
      <c r="J431" s="22" t="n">
        <f aca="false">H431-I431</f>
        <v>-0.212962962962963</v>
      </c>
      <c r="K431" s="2" t="str">
        <f aca="false">IF(J431&lt;-Targets!$F$2,"Under",IF(J431&gt;Targets!$F$2,"Over","On Track"))</f>
        <v>Under</v>
      </c>
    </row>
    <row r="432" customFormat="false" ht="15" hidden="false" customHeight="false" outlineLevel="0" collapsed="false">
      <c r="A432" s="17" t="n">
        <v>46327</v>
      </c>
      <c r="B432" s="18" t="s">
        <v>52</v>
      </c>
      <c r="C432" s="2" t="str">
        <f aca="false">VLOOKUP(B432,Targets!$A$2:$D$43,2,FALSE())</f>
        <v>South</v>
      </c>
      <c r="D432" s="19" t="n">
        <v>1490</v>
      </c>
      <c r="E432" s="19" t="n">
        <v>1112</v>
      </c>
      <c r="F432" s="20" t="n">
        <f aca="false">E432-D432</f>
        <v>-378</v>
      </c>
      <c r="G432" s="21" t="n">
        <f aca="false">IF(D432=0,0,F432/D432)</f>
        <v>-0.253691275167785</v>
      </c>
      <c r="H432" s="21" t="n">
        <f aca="false">IF(D432=0,0,E432/D432)</f>
        <v>0.746308724832215</v>
      </c>
      <c r="I432" s="21" t="n">
        <f aca="false">VLOOKUP(B432,Targets!$A$2:$D$43,3,FALSE())</f>
        <v>0.92</v>
      </c>
      <c r="J432" s="22" t="n">
        <f aca="false">H432-I432</f>
        <v>-0.173691275167785</v>
      </c>
      <c r="K432" s="2" t="str">
        <f aca="false">IF(J432&lt;-Targets!$F$2,"Under",IF(J432&gt;Targets!$F$2,"Over","On Track"))</f>
        <v>Under</v>
      </c>
    </row>
    <row r="433" customFormat="false" ht="15" hidden="false" customHeight="false" outlineLevel="0" collapsed="false">
      <c r="A433" s="17" t="n">
        <v>46327</v>
      </c>
      <c r="B433" s="18" t="s">
        <v>53</v>
      </c>
      <c r="C433" s="2" t="str">
        <f aca="false">VLOOKUP(B433,Targets!$A$2:$D$43,2,FALSE())</f>
        <v>South</v>
      </c>
      <c r="D433" s="19" t="n">
        <v>2640</v>
      </c>
      <c r="E433" s="19" t="n">
        <v>2376</v>
      </c>
      <c r="F433" s="20" t="n">
        <f aca="false">E433-D433</f>
        <v>-264</v>
      </c>
      <c r="G433" s="21" t="n">
        <f aca="false">IF(D433=0,0,F433/D433)</f>
        <v>-0.1</v>
      </c>
      <c r="H433" s="21" t="n">
        <f aca="false">IF(D433=0,0,E433/D433)</f>
        <v>0.9</v>
      </c>
      <c r="I433" s="21" t="n">
        <f aca="false">VLOOKUP(B433,Targets!$A$2:$D$43,3,FALSE())</f>
        <v>0.92</v>
      </c>
      <c r="J433" s="22" t="n">
        <f aca="false">H433-I433</f>
        <v>-0.02</v>
      </c>
      <c r="K433" s="2" t="str">
        <f aca="false">IF(J433&lt;-Targets!$F$2,"Under",IF(J433&gt;Targets!$F$2,"Over","On Track"))</f>
        <v>On Track</v>
      </c>
    </row>
    <row r="434" customFormat="false" ht="15" hidden="false" customHeight="false" outlineLevel="0" collapsed="false">
      <c r="A434" s="17" t="n">
        <v>46327</v>
      </c>
      <c r="B434" s="18" t="s">
        <v>54</v>
      </c>
      <c r="C434" s="2" t="str">
        <f aca="false">VLOOKUP(B434,Targets!$A$2:$D$43,2,FALSE())</f>
        <v>South</v>
      </c>
      <c r="D434" s="19" t="n">
        <v>3470</v>
      </c>
      <c r="E434" s="19" t="n">
        <v>2838</v>
      </c>
      <c r="F434" s="20" t="n">
        <f aca="false">E434-D434</f>
        <v>-632</v>
      </c>
      <c r="G434" s="21" t="n">
        <f aca="false">IF(D434=0,0,F434/D434)</f>
        <v>-0.182132564841499</v>
      </c>
      <c r="H434" s="21" t="n">
        <f aca="false">IF(D434=0,0,E434/D434)</f>
        <v>0.817867435158502</v>
      </c>
      <c r="I434" s="21" t="n">
        <f aca="false">VLOOKUP(B434,Targets!$A$2:$D$43,3,FALSE())</f>
        <v>0.9</v>
      </c>
      <c r="J434" s="22" t="n">
        <f aca="false">H434-I434</f>
        <v>-0.0821325648414986</v>
      </c>
      <c r="K434" s="2" t="str">
        <f aca="false">IF(J434&lt;-Targets!$F$2,"Under",IF(J434&gt;Targets!$F$2,"Over","On Track"))</f>
        <v>Under</v>
      </c>
    </row>
    <row r="435" customFormat="false" ht="15" hidden="false" customHeight="false" outlineLevel="0" collapsed="false">
      <c r="A435" s="17" t="n">
        <v>46327</v>
      </c>
      <c r="B435" s="18" t="s">
        <v>55</v>
      </c>
      <c r="C435" s="2" t="str">
        <f aca="false">VLOOKUP(B435,Targets!$A$2:$D$43,2,FALSE())</f>
        <v>South</v>
      </c>
      <c r="D435" s="19" t="n">
        <v>1490</v>
      </c>
      <c r="E435" s="19" t="n">
        <v>1259</v>
      </c>
      <c r="F435" s="20" t="n">
        <f aca="false">E435-D435</f>
        <v>-231</v>
      </c>
      <c r="G435" s="21" t="n">
        <f aca="false">IF(D435=0,0,F435/D435)</f>
        <v>-0.15503355704698</v>
      </c>
      <c r="H435" s="21" t="n">
        <f aca="false">IF(D435=0,0,E435/D435)</f>
        <v>0.84496644295302</v>
      </c>
      <c r="I435" s="21" t="n">
        <f aca="false">VLOOKUP(B435,Targets!$A$2:$D$43,3,FALSE())</f>
        <v>0.92</v>
      </c>
      <c r="J435" s="22" t="n">
        <f aca="false">H435-I435</f>
        <v>-0.0750335570469799</v>
      </c>
      <c r="K435" s="2" t="str">
        <f aca="false">IF(J435&lt;-Targets!$F$2,"Under",IF(J435&gt;Targets!$F$2,"Over","On Track"))</f>
        <v>Under</v>
      </c>
    </row>
    <row r="436" customFormat="false" ht="15" hidden="false" customHeight="false" outlineLevel="0" collapsed="false">
      <c r="A436" s="17" t="n">
        <v>46327</v>
      </c>
      <c r="B436" s="18" t="s">
        <v>56</v>
      </c>
      <c r="C436" s="2" t="str">
        <f aca="false">VLOOKUP(B436,Targets!$A$2:$D$43,2,FALSE())</f>
        <v>East</v>
      </c>
      <c r="D436" s="19" t="n">
        <v>3140</v>
      </c>
      <c r="E436" s="19" t="n">
        <v>2846</v>
      </c>
      <c r="F436" s="20" t="n">
        <f aca="false">E436-D436</f>
        <v>-294</v>
      </c>
      <c r="G436" s="21" t="n">
        <f aca="false">IF(D436=0,0,F436/D436)</f>
        <v>-0.0936305732484076</v>
      </c>
      <c r="H436" s="21" t="n">
        <f aca="false">IF(D436=0,0,E436/D436)</f>
        <v>0.906369426751592</v>
      </c>
      <c r="I436" s="21" t="n">
        <f aca="false">VLOOKUP(B436,Targets!$A$2:$D$43,3,FALSE())</f>
        <v>0.92</v>
      </c>
      <c r="J436" s="22" t="n">
        <f aca="false">H436-I436</f>
        <v>-0.0136305732484077</v>
      </c>
      <c r="K436" s="2" t="str">
        <f aca="false">IF(J436&lt;-Targets!$F$2,"Under",IF(J436&gt;Targets!$F$2,"Over","On Track"))</f>
        <v>On Track</v>
      </c>
    </row>
    <row r="437" customFormat="false" ht="15" hidden="false" customHeight="false" outlineLevel="0" collapsed="false">
      <c r="A437" s="17" t="n">
        <v>46327</v>
      </c>
      <c r="B437" s="18" t="s">
        <v>57</v>
      </c>
      <c r="C437" s="2" t="str">
        <f aca="false">VLOOKUP(B437,Targets!$A$2:$D$43,2,FALSE())</f>
        <v>East</v>
      </c>
      <c r="D437" s="19" t="n">
        <v>2750</v>
      </c>
      <c r="E437" s="19" t="n">
        <v>2387</v>
      </c>
      <c r="F437" s="20" t="n">
        <f aca="false">E437-D437</f>
        <v>-363</v>
      </c>
      <c r="G437" s="21" t="n">
        <f aca="false">IF(D437=0,0,F437/D437)</f>
        <v>-0.132</v>
      </c>
      <c r="H437" s="21" t="n">
        <f aca="false">IF(D437=0,0,E437/D437)</f>
        <v>0.868</v>
      </c>
      <c r="I437" s="21" t="n">
        <f aca="false">VLOOKUP(B437,Targets!$A$2:$D$43,3,FALSE())</f>
        <v>0.88</v>
      </c>
      <c r="J437" s="22" t="n">
        <f aca="false">H437-I437</f>
        <v>-0.012</v>
      </c>
      <c r="K437" s="2" t="str">
        <f aca="false">IF(J437&lt;-Targets!$F$2,"Under",IF(J437&gt;Targets!$F$2,"Over","On Track"))</f>
        <v>On Track</v>
      </c>
    </row>
    <row r="438" customFormat="false" ht="15" hidden="false" customHeight="false" outlineLevel="0" collapsed="false">
      <c r="A438" s="17" t="n">
        <v>46327</v>
      </c>
      <c r="B438" s="18" t="s">
        <v>58</v>
      </c>
      <c r="C438" s="2" t="str">
        <f aca="false">VLOOKUP(B438,Targets!$A$2:$D$43,2,FALSE())</f>
        <v>East</v>
      </c>
      <c r="D438" s="19" t="n">
        <v>1540</v>
      </c>
      <c r="E438" s="19" t="n">
        <v>1427</v>
      </c>
      <c r="F438" s="20" t="n">
        <f aca="false">E438-D438</f>
        <v>-113</v>
      </c>
      <c r="G438" s="21" t="n">
        <f aca="false">IF(D438=0,0,F438/D438)</f>
        <v>-0.0733766233766234</v>
      </c>
      <c r="H438" s="21" t="n">
        <f aca="false">IF(D438=0,0,E438/D438)</f>
        <v>0.926623376623377</v>
      </c>
      <c r="I438" s="21" t="n">
        <f aca="false">VLOOKUP(B438,Targets!$A$2:$D$43,3,FALSE())</f>
        <v>0.92</v>
      </c>
      <c r="J438" s="22" t="n">
        <f aca="false">H438-I438</f>
        <v>0.00662337662337653</v>
      </c>
      <c r="K438" s="2" t="str">
        <f aca="false">IF(J438&lt;-Targets!$F$2,"Under",IF(J438&gt;Targets!$F$2,"Over","On Track"))</f>
        <v>On Track</v>
      </c>
    </row>
    <row r="439" customFormat="false" ht="15" hidden="false" customHeight="false" outlineLevel="0" collapsed="false">
      <c r="A439" s="17" t="n">
        <v>46327</v>
      </c>
      <c r="B439" s="18" t="s">
        <v>59</v>
      </c>
      <c r="C439" s="2" t="str">
        <f aca="false">VLOOKUP(B439,Targets!$A$2:$D$43,2,FALSE())</f>
        <v>East</v>
      </c>
      <c r="D439" s="19" t="n">
        <v>1430</v>
      </c>
      <c r="E439" s="19" t="n">
        <v>1158</v>
      </c>
      <c r="F439" s="20" t="n">
        <f aca="false">E439-D439</f>
        <v>-272</v>
      </c>
      <c r="G439" s="21" t="n">
        <f aca="false">IF(D439=0,0,F439/D439)</f>
        <v>-0.19020979020979</v>
      </c>
      <c r="H439" s="21" t="n">
        <f aca="false">IF(D439=0,0,E439/D439)</f>
        <v>0.80979020979021</v>
      </c>
      <c r="I439" s="21" t="n">
        <f aca="false">VLOOKUP(B439,Targets!$A$2:$D$43,3,FALSE())</f>
        <v>0.88</v>
      </c>
      <c r="J439" s="22" t="n">
        <f aca="false">H439-I439</f>
        <v>-0.0702097902097902</v>
      </c>
      <c r="K439" s="2" t="str">
        <f aca="false">IF(J439&lt;-Targets!$F$2,"Under",IF(J439&gt;Targets!$F$2,"Over","On Track"))</f>
        <v>Under</v>
      </c>
    </row>
    <row r="440" customFormat="false" ht="15" hidden="false" customHeight="false" outlineLevel="0" collapsed="false">
      <c r="A440" s="17" t="n">
        <v>46327</v>
      </c>
      <c r="B440" s="18" t="s">
        <v>60</v>
      </c>
      <c r="C440" s="2" t="str">
        <f aca="false">VLOOKUP(B440,Targets!$A$2:$D$43,2,FALSE())</f>
        <v>East</v>
      </c>
      <c r="D440" s="19" t="n">
        <v>3360</v>
      </c>
      <c r="E440" s="19" t="n">
        <v>2862</v>
      </c>
      <c r="F440" s="20" t="n">
        <f aca="false">E440-D440</f>
        <v>-498</v>
      </c>
      <c r="G440" s="21" t="n">
        <f aca="false">IF(D440=0,0,F440/D440)</f>
        <v>-0.148214285714286</v>
      </c>
      <c r="H440" s="21" t="n">
        <f aca="false">IF(D440=0,0,E440/D440)</f>
        <v>0.851785714285714</v>
      </c>
      <c r="I440" s="21" t="n">
        <f aca="false">VLOOKUP(B440,Targets!$A$2:$D$43,3,FALSE())</f>
        <v>0.88</v>
      </c>
      <c r="J440" s="22" t="n">
        <f aca="false">H440-I440</f>
        <v>-0.0282142857142857</v>
      </c>
      <c r="K440" s="2" t="str">
        <f aca="false">IF(J440&lt;-Targets!$F$2,"Under",IF(J440&gt;Targets!$F$2,"Over","On Track"))</f>
        <v>On Track</v>
      </c>
    </row>
    <row r="441" customFormat="false" ht="15" hidden="false" customHeight="false" outlineLevel="0" collapsed="false">
      <c r="A441" s="17" t="n">
        <v>46327</v>
      </c>
      <c r="B441" s="18" t="s">
        <v>61</v>
      </c>
      <c r="C441" s="2" t="str">
        <f aca="false">VLOOKUP(B441,Targets!$A$2:$D$43,2,FALSE())</f>
        <v>East</v>
      </c>
      <c r="D441" s="19" t="n">
        <v>1820</v>
      </c>
      <c r="E441" s="19" t="n">
        <v>1683</v>
      </c>
      <c r="F441" s="20" t="n">
        <f aca="false">E441-D441</f>
        <v>-137</v>
      </c>
      <c r="G441" s="21" t="n">
        <f aca="false">IF(D441=0,0,F441/D441)</f>
        <v>-0.0752747252747253</v>
      </c>
      <c r="H441" s="21" t="n">
        <f aca="false">IF(D441=0,0,E441/D441)</f>
        <v>0.924725274725275</v>
      </c>
      <c r="I441" s="21" t="n">
        <f aca="false">VLOOKUP(B441,Targets!$A$2:$D$43,3,FALSE())</f>
        <v>0.88</v>
      </c>
      <c r="J441" s="22" t="n">
        <f aca="false">H441-I441</f>
        <v>0.0447252747252748</v>
      </c>
      <c r="K441" s="2" t="str">
        <f aca="false">IF(J441&lt;-Targets!$F$2,"Under",IF(J441&gt;Targets!$F$2,"Over","On Track"))</f>
        <v>On Track</v>
      </c>
    </row>
    <row r="442" customFormat="false" ht="15" hidden="false" customHeight="false" outlineLevel="0" collapsed="false">
      <c r="A442" s="17" t="n">
        <v>46327</v>
      </c>
      <c r="B442" s="18" t="s">
        <v>62</v>
      </c>
      <c r="C442" s="2" t="str">
        <f aca="false">VLOOKUP(B442,Targets!$A$2:$D$43,2,FALSE())</f>
        <v>East</v>
      </c>
      <c r="D442" s="19" t="n">
        <v>2090</v>
      </c>
      <c r="E442" s="19" t="n">
        <v>1900</v>
      </c>
      <c r="F442" s="20" t="n">
        <f aca="false">E442-D442</f>
        <v>-190</v>
      </c>
      <c r="G442" s="21" t="n">
        <f aca="false">IF(D442=0,0,F442/D442)</f>
        <v>-0.0909090909090909</v>
      </c>
      <c r="H442" s="21" t="n">
        <f aca="false">IF(D442=0,0,E442/D442)</f>
        <v>0.909090909090909</v>
      </c>
      <c r="I442" s="21" t="n">
        <f aca="false">VLOOKUP(B442,Targets!$A$2:$D$43,3,FALSE())</f>
        <v>0.92</v>
      </c>
      <c r="J442" s="22" t="n">
        <f aca="false">H442-I442</f>
        <v>-0.010909090909091</v>
      </c>
      <c r="K442" s="2" t="str">
        <f aca="false">IF(J442&lt;-Targets!$F$2,"Under",IF(J442&gt;Targets!$F$2,"Over","On Track"))</f>
        <v>On Track</v>
      </c>
    </row>
    <row r="443" customFormat="false" ht="15" hidden="false" customHeight="false" outlineLevel="0" collapsed="false">
      <c r="A443" s="17" t="n">
        <v>46327</v>
      </c>
      <c r="B443" s="18" t="s">
        <v>63</v>
      </c>
      <c r="C443" s="2" t="str">
        <f aca="false">VLOOKUP(B443,Targets!$A$2:$D$43,2,FALSE())</f>
        <v>West</v>
      </c>
      <c r="D443" s="19" t="n">
        <v>2640</v>
      </c>
      <c r="E443" s="19" t="n">
        <v>2269</v>
      </c>
      <c r="F443" s="20" t="n">
        <f aca="false">E443-D443</f>
        <v>-371</v>
      </c>
      <c r="G443" s="21" t="n">
        <f aca="false">IF(D443=0,0,F443/D443)</f>
        <v>-0.140530303030303</v>
      </c>
      <c r="H443" s="21" t="n">
        <f aca="false">IF(D443=0,0,E443/D443)</f>
        <v>0.859469696969697</v>
      </c>
      <c r="I443" s="21" t="n">
        <f aca="false">VLOOKUP(B443,Targets!$A$2:$D$43,3,FALSE())</f>
        <v>0.85</v>
      </c>
      <c r="J443" s="22" t="n">
        <f aca="false">H443-I443</f>
        <v>0.00946969696969702</v>
      </c>
      <c r="K443" s="2" t="str">
        <f aca="false">IF(J443&lt;-Targets!$F$2,"Under",IF(J443&gt;Targets!$F$2,"Over","On Track"))</f>
        <v>On Track</v>
      </c>
    </row>
    <row r="444" customFormat="false" ht="15" hidden="false" customHeight="false" outlineLevel="0" collapsed="false">
      <c r="A444" s="17" t="n">
        <v>46327</v>
      </c>
      <c r="B444" s="18" t="s">
        <v>64</v>
      </c>
      <c r="C444" s="2" t="str">
        <f aca="false">VLOOKUP(B444,Targets!$A$2:$D$43,2,FALSE())</f>
        <v>West</v>
      </c>
      <c r="D444" s="19" t="n">
        <v>2090</v>
      </c>
      <c r="E444" s="19" t="n">
        <v>2017</v>
      </c>
      <c r="F444" s="20" t="n">
        <f aca="false">E444-D444</f>
        <v>-73</v>
      </c>
      <c r="G444" s="21" t="n">
        <f aca="false">IF(D444=0,0,F444/D444)</f>
        <v>-0.0349282296650718</v>
      </c>
      <c r="H444" s="21" t="n">
        <f aca="false">IF(D444=0,0,E444/D444)</f>
        <v>0.965071770334928</v>
      </c>
      <c r="I444" s="21" t="n">
        <f aca="false">VLOOKUP(B444,Targets!$A$2:$D$43,3,FALSE())</f>
        <v>0.92</v>
      </c>
      <c r="J444" s="22" t="n">
        <f aca="false">H444-I444</f>
        <v>0.0450717703349282</v>
      </c>
      <c r="K444" s="2" t="str">
        <f aca="false">IF(J444&lt;-Targets!$F$2,"Under",IF(J444&gt;Targets!$F$2,"Over","On Track"))</f>
        <v>On Track</v>
      </c>
    </row>
    <row r="445" customFormat="false" ht="15" hidden="false" customHeight="false" outlineLevel="0" collapsed="false">
      <c r="A445" s="17" t="n">
        <v>46327</v>
      </c>
      <c r="B445" s="18" t="s">
        <v>65</v>
      </c>
      <c r="C445" s="2" t="str">
        <f aca="false">VLOOKUP(B445,Targets!$A$2:$D$43,2,FALSE())</f>
        <v>West</v>
      </c>
      <c r="D445" s="19" t="n">
        <v>990</v>
      </c>
      <c r="E445" s="19" t="n">
        <v>1002</v>
      </c>
      <c r="F445" s="20" t="n">
        <f aca="false">E445-D445</f>
        <v>12</v>
      </c>
      <c r="G445" s="21" t="n">
        <f aca="false">IF(D445=0,0,F445/D445)</f>
        <v>0.0121212121212121</v>
      </c>
      <c r="H445" s="21" t="n">
        <f aca="false">IF(D445=0,0,E445/D445)</f>
        <v>1.01212121212121</v>
      </c>
      <c r="I445" s="21" t="n">
        <f aca="false">VLOOKUP(B445,Targets!$A$2:$D$43,3,FALSE())</f>
        <v>0.92</v>
      </c>
      <c r="J445" s="22" t="n">
        <f aca="false">H445-I445</f>
        <v>0.0921212121212122</v>
      </c>
      <c r="K445" s="2" t="str">
        <f aca="false">IF(J445&lt;-Targets!$F$2,"Under",IF(J445&gt;Targets!$F$2,"Over","On Track"))</f>
        <v>Over</v>
      </c>
    </row>
    <row r="446" customFormat="false" ht="15" hidden="false" customHeight="false" outlineLevel="0" collapsed="false">
      <c r="A446" s="17" t="n">
        <v>46327</v>
      </c>
      <c r="B446" s="18" t="s">
        <v>66</v>
      </c>
      <c r="C446" s="2" t="str">
        <f aca="false">VLOOKUP(B446,Targets!$A$2:$D$43,2,FALSE())</f>
        <v>West</v>
      </c>
      <c r="D446" s="19" t="n">
        <v>1600</v>
      </c>
      <c r="E446" s="19" t="n">
        <v>1521</v>
      </c>
      <c r="F446" s="20" t="n">
        <f aca="false">E446-D446</f>
        <v>-79</v>
      </c>
      <c r="G446" s="21" t="n">
        <f aca="false">IF(D446=0,0,F446/D446)</f>
        <v>-0.049375</v>
      </c>
      <c r="H446" s="21" t="n">
        <f aca="false">IF(D446=0,0,E446/D446)</f>
        <v>0.950625</v>
      </c>
      <c r="I446" s="21" t="n">
        <f aca="false">VLOOKUP(B446,Targets!$A$2:$D$43,3,FALSE())</f>
        <v>0.92</v>
      </c>
      <c r="J446" s="22" t="n">
        <f aca="false">H446-I446</f>
        <v>0.030625</v>
      </c>
      <c r="K446" s="2" t="str">
        <f aca="false">IF(J446&lt;-Targets!$F$2,"Under",IF(J446&gt;Targets!$F$2,"Over","On Track"))</f>
        <v>On Track</v>
      </c>
    </row>
    <row r="447" customFormat="false" ht="15" hidden="false" customHeight="false" outlineLevel="0" collapsed="false">
      <c r="A447" s="17" t="n">
        <v>46327</v>
      </c>
      <c r="B447" s="18" t="s">
        <v>67</v>
      </c>
      <c r="C447" s="2" t="str">
        <f aca="false">VLOOKUP(B447,Targets!$A$2:$D$43,2,FALSE())</f>
        <v>West</v>
      </c>
      <c r="D447" s="19" t="n">
        <v>2140</v>
      </c>
      <c r="E447" s="19" t="n">
        <v>2036</v>
      </c>
      <c r="F447" s="20" t="n">
        <f aca="false">E447-D447</f>
        <v>-104</v>
      </c>
      <c r="G447" s="21" t="n">
        <f aca="false">IF(D447=0,0,F447/D447)</f>
        <v>-0.0485981308411215</v>
      </c>
      <c r="H447" s="21" t="n">
        <f aca="false">IF(D447=0,0,E447/D447)</f>
        <v>0.951401869158879</v>
      </c>
      <c r="I447" s="21" t="n">
        <f aca="false">VLOOKUP(B447,Targets!$A$2:$D$43,3,FALSE())</f>
        <v>0.92</v>
      </c>
      <c r="J447" s="22" t="n">
        <f aca="false">H447-I447</f>
        <v>0.0314018691588784</v>
      </c>
      <c r="K447" s="2" t="str">
        <f aca="false">IF(J447&lt;-Targets!$F$2,"Under",IF(J447&gt;Targets!$F$2,"Over","On Track"))</f>
        <v>On Track</v>
      </c>
    </row>
    <row r="448" customFormat="false" ht="15" hidden="false" customHeight="false" outlineLevel="0" collapsed="false">
      <c r="A448" s="17" t="n">
        <v>46327</v>
      </c>
      <c r="B448" s="18" t="s">
        <v>68</v>
      </c>
      <c r="C448" s="2" t="str">
        <f aca="false">VLOOKUP(B448,Targets!$A$2:$D$43,2,FALSE())</f>
        <v>West</v>
      </c>
      <c r="D448" s="19" t="n">
        <v>2920</v>
      </c>
      <c r="E448" s="19" t="n">
        <v>2817</v>
      </c>
      <c r="F448" s="20" t="n">
        <f aca="false">E448-D448</f>
        <v>-103</v>
      </c>
      <c r="G448" s="21" t="n">
        <f aca="false">IF(D448=0,0,F448/D448)</f>
        <v>-0.0352739726027397</v>
      </c>
      <c r="H448" s="21" t="n">
        <f aca="false">IF(D448=0,0,E448/D448)</f>
        <v>0.96472602739726</v>
      </c>
      <c r="I448" s="21" t="n">
        <f aca="false">VLOOKUP(B448,Targets!$A$2:$D$43,3,FALSE())</f>
        <v>0.9</v>
      </c>
      <c r="J448" s="22" t="n">
        <f aca="false">H448-I448</f>
        <v>0.0647260273972603</v>
      </c>
      <c r="K448" s="2" t="str">
        <f aca="false">IF(J448&lt;-Targets!$F$2,"Under",IF(J448&gt;Targets!$F$2,"Over","On Track"))</f>
        <v>Over</v>
      </c>
    </row>
    <row r="449" customFormat="false" ht="15" hidden="false" customHeight="false" outlineLevel="0" collapsed="false">
      <c r="A449" s="17" t="n">
        <v>46327</v>
      </c>
      <c r="B449" s="18" t="s">
        <v>69</v>
      </c>
      <c r="C449" s="2" t="str">
        <f aca="false">VLOOKUP(B449,Targets!$A$2:$D$43,2,FALSE())</f>
        <v>West</v>
      </c>
      <c r="D449" s="19" t="n">
        <v>2480</v>
      </c>
      <c r="E449" s="19" t="n">
        <v>2486</v>
      </c>
      <c r="F449" s="20" t="n">
        <f aca="false">E449-D449</f>
        <v>6</v>
      </c>
      <c r="G449" s="21" t="n">
        <f aca="false">IF(D449=0,0,F449/D449)</f>
        <v>0.00241935483870968</v>
      </c>
      <c r="H449" s="21" t="n">
        <f aca="false">IF(D449=0,0,E449/D449)</f>
        <v>1.00241935483871</v>
      </c>
      <c r="I449" s="21" t="n">
        <f aca="false">VLOOKUP(B449,Targets!$A$2:$D$43,3,FALSE())</f>
        <v>0.92</v>
      </c>
      <c r="J449" s="22" t="n">
        <f aca="false">H449-I449</f>
        <v>0.0824193548387097</v>
      </c>
      <c r="K449" s="2" t="str">
        <f aca="false">IF(J449&lt;-Targets!$F$2,"Under",IF(J449&gt;Targets!$F$2,"Over","On Track"))</f>
        <v>Over</v>
      </c>
    </row>
    <row r="450" customFormat="false" ht="15" hidden="false" customHeight="false" outlineLevel="0" collapsed="false">
      <c r="A450" s="17" t="n">
        <v>46327</v>
      </c>
      <c r="B450" s="18" t="s">
        <v>70</v>
      </c>
      <c r="C450" s="2" t="str">
        <f aca="false">VLOOKUP(B450,Targets!$A$2:$D$43,2,FALSE())</f>
        <v>Central</v>
      </c>
      <c r="D450" s="19" t="n">
        <v>2040</v>
      </c>
      <c r="E450" s="19" t="n">
        <v>1905</v>
      </c>
      <c r="F450" s="20" t="n">
        <f aca="false">E450-D450</f>
        <v>-135</v>
      </c>
      <c r="G450" s="21" t="n">
        <f aca="false">IF(D450=0,0,F450/D450)</f>
        <v>-0.0661764705882353</v>
      </c>
      <c r="H450" s="21" t="n">
        <f aca="false">IF(D450=0,0,E450/D450)</f>
        <v>0.933823529411765</v>
      </c>
      <c r="I450" s="21" t="n">
        <f aca="false">VLOOKUP(B450,Targets!$A$2:$D$43,3,FALSE())</f>
        <v>0.9</v>
      </c>
      <c r="J450" s="22" t="n">
        <f aca="false">H450-I450</f>
        <v>0.0338235294117647</v>
      </c>
      <c r="K450" s="2" t="str">
        <f aca="false">IF(J450&lt;-Targets!$F$2,"Under",IF(J450&gt;Targets!$F$2,"Over","On Track"))</f>
        <v>On Track</v>
      </c>
    </row>
    <row r="451" customFormat="false" ht="15" hidden="false" customHeight="false" outlineLevel="0" collapsed="false">
      <c r="A451" s="17" t="n">
        <v>46327</v>
      </c>
      <c r="B451" s="18" t="s">
        <v>71</v>
      </c>
      <c r="C451" s="2" t="str">
        <f aca="false">VLOOKUP(B451,Targets!$A$2:$D$43,2,FALSE())</f>
        <v>Central</v>
      </c>
      <c r="D451" s="19" t="n">
        <v>1430</v>
      </c>
      <c r="E451" s="19" t="n">
        <v>1150</v>
      </c>
      <c r="F451" s="20" t="n">
        <f aca="false">E451-D451</f>
        <v>-280</v>
      </c>
      <c r="G451" s="21" t="n">
        <f aca="false">IF(D451=0,0,F451/D451)</f>
        <v>-0.195804195804196</v>
      </c>
      <c r="H451" s="21" t="n">
        <f aca="false">IF(D451=0,0,E451/D451)</f>
        <v>0.804195804195804</v>
      </c>
      <c r="I451" s="21" t="n">
        <f aca="false">VLOOKUP(B451,Targets!$A$2:$D$43,3,FALSE())</f>
        <v>0.85</v>
      </c>
      <c r="J451" s="22" t="n">
        <f aca="false">H451-I451</f>
        <v>-0.0458041958041958</v>
      </c>
      <c r="K451" s="2" t="str">
        <f aca="false">IF(J451&lt;-Targets!$F$2,"Under",IF(J451&gt;Targets!$F$2,"Over","On Track"))</f>
        <v>On Track</v>
      </c>
    </row>
    <row r="452" customFormat="false" ht="15" hidden="false" customHeight="false" outlineLevel="0" collapsed="false">
      <c r="A452" s="17" t="n">
        <v>46327</v>
      </c>
      <c r="B452" s="18" t="s">
        <v>72</v>
      </c>
      <c r="C452" s="2" t="str">
        <f aca="false">VLOOKUP(B452,Targets!$A$2:$D$43,2,FALSE())</f>
        <v>Central</v>
      </c>
      <c r="D452" s="19" t="n">
        <v>2970</v>
      </c>
      <c r="E452" s="19" t="n">
        <v>2458</v>
      </c>
      <c r="F452" s="20" t="n">
        <f aca="false">E452-D452</f>
        <v>-512</v>
      </c>
      <c r="G452" s="21" t="n">
        <f aca="false">IF(D452=0,0,F452/D452)</f>
        <v>-0.172390572390572</v>
      </c>
      <c r="H452" s="21" t="n">
        <f aca="false">IF(D452=0,0,E452/D452)</f>
        <v>0.827609427609428</v>
      </c>
      <c r="I452" s="21" t="n">
        <f aca="false">VLOOKUP(B452,Targets!$A$2:$D$43,3,FALSE())</f>
        <v>0.85</v>
      </c>
      <c r="J452" s="22" t="n">
        <f aca="false">H452-I452</f>
        <v>-0.0223905723905724</v>
      </c>
      <c r="K452" s="2" t="str">
        <f aca="false">IF(J452&lt;-Targets!$F$2,"Under",IF(J452&gt;Targets!$F$2,"Over","On Track"))</f>
        <v>On Track</v>
      </c>
    </row>
    <row r="453" customFormat="false" ht="15" hidden="false" customHeight="false" outlineLevel="0" collapsed="false">
      <c r="A453" s="17" t="n">
        <v>46327</v>
      </c>
      <c r="B453" s="18" t="s">
        <v>73</v>
      </c>
      <c r="C453" s="2" t="str">
        <f aca="false">VLOOKUP(B453,Targets!$A$2:$D$43,2,FALSE())</f>
        <v>Central</v>
      </c>
      <c r="D453" s="19" t="n">
        <v>1430</v>
      </c>
      <c r="E453" s="19" t="n">
        <v>1233</v>
      </c>
      <c r="F453" s="20" t="n">
        <f aca="false">E453-D453</f>
        <v>-197</v>
      </c>
      <c r="G453" s="21" t="n">
        <f aca="false">IF(D453=0,0,F453/D453)</f>
        <v>-0.137762237762238</v>
      </c>
      <c r="H453" s="21" t="n">
        <f aca="false">IF(D453=0,0,E453/D453)</f>
        <v>0.862237762237762</v>
      </c>
      <c r="I453" s="21" t="n">
        <f aca="false">VLOOKUP(B453,Targets!$A$2:$D$43,3,FALSE())</f>
        <v>0.85</v>
      </c>
      <c r="J453" s="22" t="n">
        <f aca="false">H453-I453</f>
        <v>0.0122377622377623</v>
      </c>
      <c r="K453" s="2" t="str">
        <f aca="false">IF(J453&lt;-Targets!$F$2,"Under",IF(J453&gt;Targets!$F$2,"Over","On Track"))</f>
        <v>On Track</v>
      </c>
    </row>
    <row r="454" customFormat="false" ht="15" hidden="false" customHeight="false" outlineLevel="0" collapsed="false">
      <c r="A454" s="17" t="n">
        <v>46327</v>
      </c>
      <c r="B454" s="18" t="s">
        <v>74</v>
      </c>
      <c r="C454" s="2" t="str">
        <f aca="false">VLOOKUP(B454,Targets!$A$2:$D$43,2,FALSE())</f>
        <v>Central</v>
      </c>
      <c r="D454" s="19" t="n">
        <v>2800</v>
      </c>
      <c r="E454" s="19" t="n">
        <v>2004</v>
      </c>
      <c r="F454" s="20" t="n">
        <f aca="false">E454-D454</f>
        <v>-796</v>
      </c>
      <c r="G454" s="21" t="n">
        <f aca="false">IF(D454=0,0,F454/D454)</f>
        <v>-0.284285714285714</v>
      </c>
      <c r="H454" s="21" t="n">
        <f aca="false">IF(D454=0,0,E454/D454)</f>
        <v>0.715714285714286</v>
      </c>
      <c r="I454" s="21" t="n">
        <f aca="false">VLOOKUP(B454,Targets!$A$2:$D$43,3,FALSE())</f>
        <v>0.85</v>
      </c>
      <c r="J454" s="22" t="n">
        <f aca="false">H454-I454</f>
        <v>-0.134285714285714</v>
      </c>
      <c r="K454" s="2" t="str">
        <f aca="false">IF(J454&lt;-Targets!$F$2,"Under",IF(J454&gt;Targets!$F$2,"Over","On Track"))</f>
        <v>Under</v>
      </c>
    </row>
    <row r="455" customFormat="false" ht="15" hidden="false" customHeight="false" outlineLevel="0" collapsed="false">
      <c r="A455" s="17" t="n">
        <v>46327</v>
      </c>
      <c r="B455" s="18" t="s">
        <v>75</v>
      </c>
      <c r="C455" s="2" t="str">
        <f aca="false">VLOOKUP(B455,Targets!$A$2:$D$43,2,FALSE())</f>
        <v>Central</v>
      </c>
      <c r="D455" s="19" t="n">
        <v>2200</v>
      </c>
      <c r="E455" s="19" t="n">
        <v>1865</v>
      </c>
      <c r="F455" s="20" t="n">
        <f aca="false">E455-D455</f>
        <v>-335</v>
      </c>
      <c r="G455" s="21" t="n">
        <f aca="false">IF(D455=0,0,F455/D455)</f>
        <v>-0.152272727272727</v>
      </c>
      <c r="H455" s="21" t="n">
        <f aca="false">IF(D455=0,0,E455/D455)</f>
        <v>0.847727272727273</v>
      </c>
      <c r="I455" s="21" t="n">
        <f aca="false">VLOOKUP(B455,Targets!$A$2:$D$43,3,FALSE())</f>
        <v>0.88</v>
      </c>
      <c r="J455" s="22" t="n">
        <f aca="false">H455-I455</f>
        <v>-0.0322727272727272</v>
      </c>
      <c r="K455" s="2" t="str">
        <f aca="false">IF(J455&lt;-Targets!$F$2,"Under",IF(J455&gt;Targets!$F$2,"Over","On Track"))</f>
        <v>On Track</v>
      </c>
    </row>
    <row r="456" customFormat="false" ht="15" hidden="false" customHeight="false" outlineLevel="0" collapsed="false">
      <c r="A456" s="17" t="n">
        <v>46327</v>
      </c>
      <c r="B456" s="18" t="s">
        <v>76</v>
      </c>
      <c r="C456" s="2" t="str">
        <f aca="false">VLOOKUP(B456,Targets!$A$2:$D$43,2,FALSE())</f>
        <v>Central</v>
      </c>
      <c r="D456" s="19" t="n">
        <v>2360</v>
      </c>
      <c r="E456" s="19" t="n">
        <v>2085</v>
      </c>
      <c r="F456" s="20" t="n">
        <f aca="false">E456-D456</f>
        <v>-275</v>
      </c>
      <c r="G456" s="21" t="n">
        <f aca="false">IF(D456=0,0,F456/D456)</f>
        <v>-0.116525423728814</v>
      </c>
      <c r="H456" s="21" t="n">
        <f aca="false">IF(D456=0,0,E456/D456)</f>
        <v>0.883474576271186</v>
      </c>
      <c r="I456" s="21" t="n">
        <f aca="false">VLOOKUP(B456,Targets!$A$2:$D$43,3,FALSE())</f>
        <v>0.9</v>
      </c>
      <c r="J456" s="22" t="n">
        <f aca="false">H456-I456</f>
        <v>-0.0165254237288136</v>
      </c>
      <c r="K456" s="2" t="str">
        <f aca="false">IF(J456&lt;-Targets!$F$2,"Under",IF(J456&gt;Targets!$F$2,"Over","On Track"))</f>
        <v>On Track</v>
      </c>
    </row>
    <row r="457" customFormat="false" ht="15" hidden="false" customHeight="false" outlineLevel="0" collapsed="false">
      <c r="A457" s="17" t="n">
        <v>46327</v>
      </c>
      <c r="B457" s="18" t="s">
        <v>77</v>
      </c>
      <c r="C457" s="2" t="str">
        <f aca="false">VLOOKUP(B457,Targets!$A$2:$D$43,2,FALSE())</f>
        <v>North-East</v>
      </c>
      <c r="D457" s="19" t="n">
        <v>1930</v>
      </c>
      <c r="E457" s="19" t="n">
        <v>1556</v>
      </c>
      <c r="F457" s="20" t="n">
        <f aca="false">E457-D457</f>
        <v>-374</v>
      </c>
      <c r="G457" s="21" t="n">
        <f aca="false">IF(D457=0,0,F457/D457)</f>
        <v>-0.193782383419689</v>
      </c>
      <c r="H457" s="21" t="n">
        <f aca="false">IF(D457=0,0,E457/D457)</f>
        <v>0.806217616580311</v>
      </c>
      <c r="I457" s="21" t="n">
        <f aca="false">VLOOKUP(B457,Targets!$A$2:$D$43,3,FALSE())</f>
        <v>0.88</v>
      </c>
      <c r="J457" s="22" t="n">
        <f aca="false">H457-I457</f>
        <v>-0.0737823834196891</v>
      </c>
      <c r="K457" s="2" t="str">
        <f aca="false">IF(J457&lt;-Targets!$F$2,"Under",IF(J457&gt;Targets!$F$2,"Over","On Track"))</f>
        <v>Under</v>
      </c>
    </row>
    <row r="458" customFormat="false" ht="15" hidden="false" customHeight="false" outlineLevel="0" collapsed="false">
      <c r="A458" s="17" t="n">
        <v>46327</v>
      </c>
      <c r="B458" s="18" t="s">
        <v>78</v>
      </c>
      <c r="C458" s="2" t="str">
        <f aca="false">VLOOKUP(B458,Targets!$A$2:$D$43,2,FALSE())</f>
        <v>North-East</v>
      </c>
      <c r="D458" s="19" t="n">
        <v>1490</v>
      </c>
      <c r="E458" s="19" t="n">
        <v>1204</v>
      </c>
      <c r="F458" s="20" t="n">
        <f aca="false">E458-D458</f>
        <v>-286</v>
      </c>
      <c r="G458" s="21" t="n">
        <f aca="false">IF(D458=0,0,F458/D458)</f>
        <v>-0.191946308724832</v>
      </c>
      <c r="H458" s="21" t="n">
        <f aca="false">IF(D458=0,0,E458/D458)</f>
        <v>0.808053691275168</v>
      </c>
      <c r="I458" s="21" t="n">
        <f aca="false">VLOOKUP(B458,Targets!$A$2:$D$43,3,FALSE())</f>
        <v>0.92</v>
      </c>
      <c r="J458" s="22" t="n">
        <f aca="false">H458-I458</f>
        <v>-0.111946308724832</v>
      </c>
      <c r="K458" s="2" t="str">
        <f aca="false">IF(J458&lt;-Targets!$F$2,"Under",IF(J458&gt;Targets!$F$2,"Over","On Track"))</f>
        <v>Under</v>
      </c>
    </row>
    <row r="459" customFormat="false" ht="15" hidden="false" customHeight="false" outlineLevel="0" collapsed="false">
      <c r="A459" s="17" t="n">
        <v>46327</v>
      </c>
      <c r="B459" s="18" t="s">
        <v>79</v>
      </c>
      <c r="C459" s="2" t="str">
        <f aca="false">VLOOKUP(B459,Targets!$A$2:$D$43,2,FALSE())</f>
        <v>North-East</v>
      </c>
      <c r="D459" s="19" t="n">
        <v>1380</v>
      </c>
      <c r="E459" s="19" t="n">
        <v>1214</v>
      </c>
      <c r="F459" s="20" t="n">
        <f aca="false">E459-D459</f>
        <v>-166</v>
      </c>
      <c r="G459" s="21" t="n">
        <f aca="false">IF(D459=0,0,F459/D459)</f>
        <v>-0.120289855072464</v>
      </c>
      <c r="H459" s="21" t="n">
        <f aca="false">IF(D459=0,0,E459/D459)</f>
        <v>0.879710144927536</v>
      </c>
      <c r="I459" s="21" t="n">
        <f aca="false">VLOOKUP(B459,Targets!$A$2:$D$43,3,FALSE())</f>
        <v>0.92</v>
      </c>
      <c r="J459" s="22" t="n">
        <f aca="false">H459-I459</f>
        <v>-0.0402898550724639</v>
      </c>
      <c r="K459" s="2" t="str">
        <f aca="false">IF(J459&lt;-Targets!$F$2,"Under",IF(J459&gt;Targets!$F$2,"Over","On Track"))</f>
        <v>On Track</v>
      </c>
    </row>
    <row r="460" customFormat="false" ht="15" hidden="false" customHeight="false" outlineLevel="0" collapsed="false">
      <c r="A460" s="17" t="n">
        <v>46327</v>
      </c>
      <c r="B460" s="18" t="s">
        <v>80</v>
      </c>
      <c r="C460" s="2" t="str">
        <f aca="false">VLOOKUP(B460,Targets!$A$2:$D$43,2,FALSE())</f>
        <v>North-East</v>
      </c>
      <c r="D460" s="19" t="n">
        <v>2580</v>
      </c>
      <c r="E460" s="19" t="n">
        <v>2251</v>
      </c>
      <c r="F460" s="20" t="n">
        <f aca="false">E460-D460</f>
        <v>-329</v>
      </c>
      <c r="G460" s="21" t="n">
        <f aca="false">IF(D460=0,0,F460/D460)</f>
        <v>-0.127519379844961</v>
      </c>
      <c r="H460" s="21" t="n">
        <f aca="false">IF(D460=0,0,E460/D460)</f>
        <v>0.872480620155039</v>
      </c>
      <c r="I460" s="21" t="n">
        <f aca="false">VLOOKUP(B460,Targets!$A$2:$D$43,3,FALSE())</f>
        <v>0.88</v>
      </c>
      <c r="J460" s="22" t="n">
        <f aca="false">H460-I460</f>
        <v>-0.00751937984496121</v>
      </c>
      <c r="K460" s="2" t="str">
        <f aca="false">IF(J460&lt;-Targets!$F$2,"Under",IF(J460&gt;Targets!$F$2,"Over","On Track"))</f>
        <v>On Track</v>
      </c>
    </row>
    <row r="461" customFormat="false" ht="15" hidden="false" customHeight="false" outlineLevel="0" collapsed="false">
      <c r="A461" s="17" t="n">
        <v>46327</v>
      </c>
      <c r="B461" s="18" t="s">
        <v>81</v>
      </c>
      <c r="C461" s="2" t="str">
        <f aca="false">VLOOKUP(B461,Targets!$A$2:$D$43,2,FALSE())</f>
        <v>North-East</v>
      </c>
      <c r="D461" s="19" t="n">
        <v>1650</v>
      </c>
      <c r="E461" s="19" t="n">
        <v>1330</v>
      </c>
      <c r="F461" s="20" t="n">
        <f aca="false">E461-D461</f>
        <v>-320</v>
      </c>
      <c r="G461" s="21" t="n">
        <f aca="false">IF(D461=0,0,F461/D461)</f>
        <v>-0.193939393939394</v>
      </c>
      <c r="H461" s="21" t="n">
        <f aca="false">IF(D461=0,0,E461/D461)</f>
        <v>0.806060606060606</v>
      </c>
      <c r="I461" s="21" t="n">
        <f aca="false">VLOOKUP(B461,Targets!$A$2:$D$43,3,FALSE())</f>
        <v>0.88</v>
      </c>
      <c r="J461" s="22" t="n">
        <f aca="false">H461-I461</f>
        <v>-0.073939393939394</v>
      </c>
      <c r="K461" s="2" t="str">
        <f aca="false">IF(J461&lt;-Targets!$F$2,"Under",IF(J461&gt;Targets!$F$2,"Over","On Track"))</f>
        <v>Under</v>
      </c>
    </row>
    <row r="462" customFormat="false" ht="15" hidden="false" customHeight="false" outlineLevel="0" collapsed="false">
      <c r="A462" s="17" t="n">
        <v>46327</v>
      </c>
      <c r="B462" s="18" t="s">
        <v>82</v>
      </c>
      <c r="C462" s="2" t="str">
        <f aca="false">VLOOKUP(B462,Targets!$A$2:$D$43,2,FALSE())</f>
        <v>North-East</v>
      </c>
      <c r="D462" s="19" t="n">
        <v>990</v>
      </c>
      <c r="E462" s="19" t="n">
        <v>749</v>
      </c>
      <c r="F462" s="20" t="n">
        <f aca="false">E462-D462</f>
        <v>-241</v>
      </c>
      <c r="G462" s="21" t="n">
        <f aca="false">IF(D462=0,0,F462/D462)</f>
        <v>-0.243434343434343</v>
      </c>
      <c r="H462" s="21" t="n">
        <f aca="false">IF(D462=0,0,E462/D462)</f>
        <v>0.756565656565657</v>
      </c>
      <c r="I462" s="21" t="n">
        <f aca="false">VLOOKUP(B462,Targets!$A$2:$D$43,3,FALSE())</f>
        <v>0.85</v>
      </c>
      <c r="J462" s="22" t="n">
        <f aca="false">H462-I462</f>
        <v>-0.0934343434343434</v>
      </c>
      <c r="K462" s="2" t="str">
        <f aca="false">IF(J462&lt;-Targets!$F$2,"Under",IF(J462&gt;Targets!$F$2,"Over","On Track"))</f>
        <v>Under</v>
      </c>
    </row>
    <row r="463" customFormat="false" ht="15" hidden="false" customHeight="false" outlineLevel="0" collapsed="false">
      <c r="A463" s="17" t="n">
        <v>46327</v>
      </c>
      <c r="B463" s="18" t="s">
        <v>83</v>
      </c>
      <c r="C463" s="2" t="str">
        <f aca="false">VLOOKUP(B463,Targets!$A$2:$D$43,2,FALSE())</f>
        <v>North-East</v>
      </c>
      <c r="D463" s="19" t="n">
        <v>1430</v>
      </c>
      <c r="E463" s="19" t="n">
        <v>1144</v>
      </c>
      <c r="F463" s="20" t="n">
        <f aca="false">E463-D463</f>
        <v>-286</v>
      </c>
      <c r="G463" s="21" t="n">
        <f aca="false">IF(D463=0,0,F463/D463)</f>
        <v>-0.2</v>
      </c>
      <c r="H463" s="21" t="n">
        <f aca="false">IF(D463=0,0,E463/D463)</f>
        <v>0.8</v>
      </c>
      <c r="I463" s="21" t="n">
        <f aca="false">VLOOKUP(B463,Targets!$A$2:$D$43,3,FALSE())</f>
        <v>0.88</v>
      </c>
      <c r="J463" s="22" t="n">
        <f aca="false">H463-I463</f>
        <v>-0.08</v>
      </c>
      <c r="K463" s="2" t="str">
        <f aca="false">IF(J463&lt;-Targets!$F$2,"Under",IF(J463&gt;Targets!$F$2,"Over","On Track"))</f>
        <v>Under</v>
      </c>
    </row>
    <row r="464" customFormat="false" ht="15" hidden="false" customHeight="false" outlineLevel="0" collapsed="false">
      <c r="A464" s="17" t="n">
        <v>46357</v>
      </c>
      <c r="B464" s="18" t="s">
        <v>41</v>
      </c>
      <c r="C464" s="2" t="str">
        <f aca="false">VLOOKUP(B464,Targets!$A$2:$D$43,2,FALSE())</f>
        <v>North</v>
      </c>
      <c r="D464" s="19" t="n">
        <v>2810</v>
      </c>
      <c r="E464" s="19" t="n">
        <v>2693</v>
      </c>
      <c r="F464" s="20" t="n">
        <f aca="false">E464-D464</f>
        <v>-117</v>
      </c>
      <c r="G464" s="21" t="n">
        <f aca="false">IF(D464=0,0,F464/D464)</f>
        <v>-0.0416370106761566</v>
      </c>
      <c r="H464" s="21" t="n">
        <f aca="false">IF(D464=0,0,E464/D464)</f>
        <v>0.958362989323844</v>
      </c>
      <c r="I464" s="21" t="n">
        <f aca="false">VLOOKUP(B464,Targets!$A$2:$D$43,3,FALSE())</f>
        <v>0.88</v>
      </c>
      <c r="J464" s="22" t="n">
        <f aca="false">H464-I464</f>
        <v>0.0783629893238435</v>
      </c>
      <c r="K464" s="2" t="str">
        <f aca="false">IF(J464&lt;-Targets!$F$2,"Under",IF(J464&gt;Targets!$F$2,"Over","On Track"))</f>
        <v>Over</v>
      </c>
    </row>
    <row r="465" customFormat="false" ht="15" hidden="false" customHeight="false" outlineLevel="0" collapsed="false">
      <c r="A465" s="17" t="n">
        <v>46357</v>
      </c>
      <c r="B465" s="18" t="s">
        <v>42</v>
      </c>
      <c r="C465" s="2" t="str">
        <f aca="false">VLOOKUP(B465,Targets!$A$2:$D$43,2,FALSE())</f>
        <v>North</v>
      </c>
      <c r="D465" s="19" t="n">
        <v>2380</v>
      </c>
      <c r="E465" s="19" t="n">
        <v>2244</v>
      </c>
      <c r="F465" s="20" t="n">
        <f aca="false">E465-D465</f>
        <v>-136</v>
      </c>
      <c r="G465" s="21" t="n">
        <f aca="false">IF(D465=0,0,F465/D465)</f>
        <v>-0.0571428571428571</v>
      </c>
      <c r="H465" s="21" t="n">
        <f aca="false">IF(D465=0,0,E465/D465)</f>
        <v>0.942857142857143</v>
      </c>
      <c r="I465" s="21" t="n">
        <f aca="false">VLOOKUP(B465,Targets!$A$2:$D$43,3,FALSE())</f>
        <v>0.88</v>
      </c>
      <c r="J465" s="22" t="n">
        <f aca="false">H465-I465</f>
        <v>0.0628571428571428</v>
      </c>
      <c r="K465" s="2" t="str">
        <f aca="false">IF(J465&lt;-Targets!$F$2,"Under",IF(J465&gt;Targets!$F$2,"Over","On Track"))</f>
        <v>Over</v>
      </c>
    </row>
    <row r="466" customFormat="false" ht="15" hidden="false" customHeight="false" outlineLevel="0" collapsed="false">
      <c r="A466" s="17" t="n">
        <v>46357</v>
      </c>
      <c r="B466" s="18" t="s">
        <v>44</v>
      </c>
      <c r="C466" s="2" t="str">
        <f aca="false">VLOOKUP(B466,Targets!$A$2:$D$43,2,FALSE())</f>
        <v>North</v>
      </c>
      <c r="D466" s="19" t="n">
        <v>2650</v>
      </c>
      <c r="E466" s="19" t="n">
        <v>2340</v>
      </c>
      <c r="F466" s="20" t="n">
        <f aca="false">E466-D466</f>
        <v>-310</v>
      </c>
      <c r="G466" s="21" t="n">
        <f aca="false">IF(D466=0,0,F466/D466)</f>
        <v>-0.116981132075472</v>
      </c>
      <c r="H466" s="21" t="n">
        <f aca="false">IF(D466=0,0,E466/D466)</f>
        <v>0.883018867924528</v>
      </c>
      <c r="I466" s="21" t="n">
        <f aca="false">VLOOKUP(B466,Targets!$A$2:$D$43,3,FALSE())</f>
        <v>0.88</v>
      </c>
      <c r="J466" s="22" t="n">
        <f aca="false">H466-I466</f>
        <v>0.00301886792452832</v>
      </c>
      <c r="K466" s="2" t="str">
        <f aca="false">IF(J466&lt;-Targets!$F$2,"Under",IF(J466&gt;Targets!$F$2,"Over","On Track"))</f>
        <v>On Track</v>
      </c>
    </row>
    <row r="467" customFormat="false" ht="15" hidden="false" customHeight="false" outlineLevel="0" collapsed="false">
      <c r="A467" s="17" t="n">
        <v>46357</v>
      </c>
      <c r="B467" s="18" t="s">
        <v>45</v>
      </c>
      <c r="C467" s="2" t="str">
        <f aca="false">VLOOKUP(B467,Targets!$A$2:$D$43,2,FALSE())</f>
        <v>North</v>
      </c>
      <c r="D467" s="19" t="n">
        <v>1170</v>
      </c>
      <c r="E467" s="19" t="n">
        <v>967</v>
      </c>
      <c r="F467" s="20" t="n">
        <f aca="false">E467-D467</f>
        <v>-203</v>
      </c>
      <c r="G467" s="21" t="n">
        <f aca="false">IF(D467=0,0,F467/D467)</f>
        <v>-0.173504273504274</v>
      </c>
      <c r="H467" s="21" t="n">
        <f aca="false">IF(D467=0,0,E467/D467)</f>
        <v>0.826495726495726</v>
      </c>
      <c r="I467" s="21" t="n">
        <f aca="false">VLOOKUP(B467,Targets!$A$2:$D$43,3,FALSE())</f>
        <v>0.88</v>
      </c>
      <c r="J467" s="22" t="n">
        <f aca="false">H467-I467</f>
        <v>-0.0535042735042736</v>
      </c>
      <c r="K467" s="2" t="str">
        <f aca="false">IF(J467&lt;-Targets!$F$2,"Under",IF(J467&gt;Targets!$F$2,"Over","On Track"))</f>
        <v>Under</v>
      </c>
    </row>
    <row r="468" customFormat="false" ht="15" hidden="false" customHeight="false" outlineLevel="0" collapsed="false">
      <c r="A468" s="17" t="n">
        <v>46357</v>
      </c>
      <c r="B468" s="18" t="s">
        <v>46</v>
      </c>
      <c r="C468" s="2" t="str">
        <f aca="false">VLOOKUP(B468,Targets!$A$2:$D$43,2,FALSE())</f>
        <v>North</v>
      </c>
      <c r="D468" s="19" t="n">
        <v>2490</v>
      </c>
      <c r="E468" s="19" t="n">
        <v>2037</v>
      </c>
      <c r="F468" s="20" t="n">
        <f aca="false">E468-D468</f>
        <v>-453</v>
      </c>
      <c r="G468" s="21" t="n">
        <f aca="false">IF(D468=0,0,F468/D468)</f>
        <v>-0.181927710843374</v>
      </c>
      <c r="H468" s="21" t="n">
        <f aca="false">IF(D468=0,0,E468/D468)</f>
        <v>0.818072289156627</v>
      </c>
      <c r="I468" s="21" t="n">
        <f aca="false">VLOOKUP(B468,Targets!$A$2:$D$43,3,FALSE())</f>
        <v>0.88</v>
      </c>
      <c r="J468" s="22" t="n">
        <f aca="false">H468-I468</f>
        <v>-0.0619277108433735</v>
      </c>
      <c r="K468" s="2" t="str">
        <f aca="false">IF(J468&lt;-Targets!$F$2,"Under",IF(J468&gt;Targets!$F$2,"Over","On Track"))</f>
        <v>Under</v>
      </c>
    </row>
    <row r="469" customFormat="false" ht="15" hidden="false" customHeight="false" outlineLevel="0" collapsed="false">
      <c r="A469" s="17" t="n">
        <v>46357</v>
      </c>
      <c r="B469" s="18" t="s">
        <v>47</v>
      </c>
      <c r="C469" s="2" t="str">
        <f aca="false">VLOOKUP(B469,Targets!$A$2:$D$43,2,FALSE())</f>
        <v>North</v>
      </c>
      <c r="D469" s="19" t="n">
        <v>3340</v>
      </c>
      <c r="E469" s="19" t="n">
        <v>2956</v>
      </c>
      <c r="F469" s="20" t="n">
        <f aca="false">E469-D469</f>
        <v>-384</v>
      </c>
      <c r="G469" s="21" t="n">
        <f aca="false">IF(D469=0,0,F469/D469)</f>
        <v>-0.11497005988024</v>
      </c>
      <c r="H469" s="21" t="n">
        <f aca="false">IF(D469=0,0,E469/D469)</f>
        <v>0.88502994011976</v>
      </c>
      <c r="I469" s="21" t="n">
        <f aca="false">VLOOKUP(B469,Targets!$A$2:$D$43,3,FALSE())</f>
        <v>0.9</v>
      </c>
      <c r="J469" s="22" t="n">
        <f aca="false">H469-I469</f>
        <v>-0.0149700598802396</v>
      </c>
      <c r="K469" s="2" t="str">
        <f aca="false">IF(J469&lt;-Targets!$F$2,"Under",IF(J469&gt;Targets!$F$2,"Over","On Track"))</f>
        <v>On Track</v>
      </c>
    </row>
    <row r="470" customFormat="false" ht="15" hidden="false" customHeight="false" outlineLevel="0" collapsed="false">
      <c r="A470" s="17" t="n">
        <v>46357</v>
      </c>
      <c r="B470" s="18" t="s">
        <v>48</v>
      </c>
      <c r="C470" s="2" t="str">
        <f aca="false">VLOOKUP(B470,Targets!$A$2:$D$43,2,FALSE())</f>
        <v>North</v>
      </c>
      <c r="D470" s="19" t="n">
        <v>1960</v>
      </c>
      <c r="E470" s="19" t="n">
        <v>1637</v>
      </c>
      <c r="F470" s="20" t="n">
        <f aca="false">E470-D470</f>
        <v>-323</v>
      </c>
      <c r="G470" s="21" t="n">
        <f aca="false">IF(D470=0,0,F470/D470)</f>
        <v>-0.164795918367347</v>
      </c>
      <c r="H470" s="21" t="n">
        <f aca="false">IF(D470=0,0,E470/D470)</f>
        <v>0.835204081632653</v>
      </c>
      <c r="I470" s="21" t="n">
        <f aca="false">VLOOKUP(B470,Targets!$A$2:$D$43,3,FALSE())</f>
        <v>0.85</v>
      </c>
      <c r="J470" s="22" t="n">
        <f aca="false">H470-I470</f>
        <v>-0.014795918367347</v>
      </c>
      <c r="K470" s="2" t="str">
        <f aca="false">IF(J470&lt;-Targets!$F$2,"Under",IF(J470&gt;Targets!$F$2,"Over","On Track"))</f>
        <v>On Track</v>
      </c>
    </row>
    <row r="471" customFormat="false" ht="15" hidden="false" customHeight="false" outlineLevel="0" collapsed="false">
      <c r="A471" s="17" t="n">
        <v>46357</v>
      </c>
      <c r="B471" s="18" t="s">
        <v>49</v>
      </c>
      <c r="C471" s="2" t="str">
        <f aca="false">VLOOKUP(B471,Targets!$A$2:$D$43,2,FALSE())</f>
        <v>South</v>
      </c>
      <c r="D471" s="19" t="n">
        <v>1220</v>
      </c>
      <c r="E471" s="19" t="n">
        <v>1030</v>
      </c>
      <c r="F471" s="20" t="n">
        <f aca="false">E471-D471</f>
        <v>-190</v>
      </c>
      <c r="G471" s="21" t="n">
        <f aca="false">IF(D471=0,0,F471/D471)</f>
        <v>-0.155737704918033</v>
      </c>
      <c r="H471" s="21" t="n">
        <f aca="false">IF(D471=0,0,E471/D471)</f>
        <v>0.844262295081967</v>
      </c>
      <c r="I471" s="21" t="n">
        <f aca="false">VLOOKUP(B471,Targets!$A$2:$D$43,3,FALSE())</f>
        <v>0.92</v>
      </c>
      <c r="J471" s="22" t="n">
        <f aca="false">H471-I471</f>
        <v>-0.0757377049180328</v>
      </c>
      <c r="K471" s="2" t="str">
        <f aca="false">IF(J471&lt;-Targets!$F$2,"Under",IF(J471&gt;Targets!$F$2,"Over","On Track"))</f>
        <v>Under</v>
      </c>
    </row>
    <row r="472" customFormat="false" ht="15" hidden="false" customHeight="false" outlineLevel="0" collapsed="false">
      <c r="A472" s="17" t="n">
        <v>46357</v>
      </c>
      <c r="B472" s="18" t="s">
        <v>50</v>
      </c>
      <c r="C472" s="2" t="str">
        <f aca="false">VLOOKUP(B472,Targets!$A$2:$D$43,2,FALSE())</f>
        <v>South</v>
      </c>
      <c r="D472" s="19" t="n">
        <v>3290</v>
      </c>
      <c r="E472" s="19" t="n">
        <v>2484</v>
      </c>
      <c r="F472" s="20" t="n">
        <f aca="false">E472-D472</f>
        <v>-806</v>
      </c>
      <c r="G472" s="21" t="n">
        <f aca="false">IF(D472=0,0,F472/D472)</f>
        <v>-0.244984802431611</v>
      </c>
      <c r="H472" s="21" t="n">
        <f aca="false">IF(D472=0,0,E472/D472)</f>
        <v>0.755015197568389</v>
      </c>
      <c r="I472" s="21" t="n">
        <f aca="false">VLOOKUP(B472,Targets!$A$2:$D$43,3,FALSE())</f>
        <v>0.9</v>
      </c>
      <c r="J472" s="22" t="n">
        <f aca="false">H472-I472</f>
        <v>-0.144984802431611</v>
      </c>
      <c r="K472" s="2" t="str">
        <f aca="false">IF(J472&lt;-Targets!$F$2,"Under",IF(J472&gt;Targets!$F$2,"Over","On Track"))</f>
        <v>Under</v>
      </c>
    </row>
    <row r="473" customFormat="false" ht="15" hidden="false" customHeight="false" outlineLevel="0" collapsed="false">
      <c r="A473" s="17" t="n">
        <v>46357</v>
      </c>
      <c r="B473" s="18" t="s">
        <v>51</v>
      </c>
      <c r="C473" s="2" t="str">
        <f aca="false">VLOOKUP(B473,Targets!$A$2:$D$43,2,FALSE())</f>
        <v>South</v>
      </c>
      <c r="D473" s="19" t="n">
        <v>2600</v>
      </c>
      <c r="E473" s="19" t="n">
        <v>2145</v>
      </c>
      <c r="F473" s="20" t="n">
        <f aca="false">E473-D473</f>
        <v>-455</v>
      </c>
      <c r="G473" s="21" t="n">
        <f aca="false">IF(D473=0,0,F473/D473)</f>
        <v>-0.175</v>
      </c>
      <c r="H473" s="21" t="n">
        <f aca="false">IF(D473=0,0,E473/D473)</f>
        <v>0.825</v>
      </c>
      <c r="I473" s="21" t="n">
        <f aca="false">VLOOKUP(B473,Targets!$A$2:$D$43,3,FALSE())</f>
        <v>0.92</v>
      </c>
      <c r="J473" s="22" t="n">
        <f aca="false">H473-I473</f>
        <v>-0.0950000000000001</v>
      </c>
      <c r="K473" s="2" t="str">
        <f aca="false">IF(J473&lt;-Targets!$F$2,"Under",IF(J473&gt;Targets!$F$2,"Over","On Track"))</f>
        <v>Under</v>
      </c>
    </row>
    <row r="474" customFormat="false" ht="15" hidden="false" customHeight="false" outlineLevel="0" collapsed="false">
      <c r="A474" s="17" t="n">
        <v>46357</v>
      </c>
      <c r="B474" s="18" t="s">
        <v>52</v>
      </c>
      <c r="C474" s="2" t="str">
        <f aca="false">VLOOKUP(B474,Targets!$A$2:$D$43,2,FALSE())</f>
        <v>South</v>
      </c>
      <c r="D474" s="19" t="n">
        <v>1430</v>
      </c>
      <c r="E474" s="19" t="n">
        <v>1227</v>
      </c>
      <c r="F474" s="20" t="n">
        <f aca="false">E474-D474</f>
        <v>-203</v>
      </c>
      <c r="G474" s="21" t="n">
        <f aca="false">IF(D474=0,0,F474/D474)</f>
        <v>-0.141958041958042</v>
      </c>
      <c r="H474" s="21" t="n">
        <f aca="false">IF(D474=0,0,E474/D474)</f>
        <v>0.858041958041958</v>
      </c>
      <c r="I474" s="21" t="n">
        <f aca="false">VLOOKUP(B474,Targets!$A$2:$D$43,3,FALSE())</f>
        <v>0.92</v>
      </c>
      <c r="J474" s="22" t="n">
        <f aca="false">H474-I474</f>
        <v>-0.061958041958042</v>
      </c>
      <c r="K474" s="2" t="str">
        <f aca="false">IF(J474&lt;-Targets!$F$2,"Under",IF(J474&gt;Targets!$F$2,"Over","On Track"))</f>
        <v>Under</v>
      </c>
    </row>
    <row r="475" customFormat="false" ht="15" hidden="false" customHeight="false" outlineLevel="0" collapsed="false">
      <c r="A475" s="17" t="n">
        <v>46357</v>
      </c>
      <c r="B475" s="18" t="s">
        <v>53</v>
      </c>
      <c r="C475" s="2" t="str">
        <f aca="false">VLOOKUP(B475,Targets!$A$2:$D$43,2,FALSE())</f>
        <v>South</v>
      </c>
      <c r="D475" s="19" t="n">
        <v>2540</v>
      </c>
      <c r="E475" s="19" t="n">
        <v>1898</v>
      </c>
      <c r="F475" s="20" t="n">
        <f aca="false">E475-D475</f>
        <v>-642</v>
      </c>
      <c r="G475" s="21" t="n">
        <f aca="false">IF(D475=0,0,F475/D475)</f>
        <v>-0.252755905511811</v>
      </c>
      <c r="H475" s="21" t="n">
        <f aca="false">IF(D475=0,0,E475/D475)</f>
        <v>0.747244094488189</v>
      </c>
      <c r="I475" s="21" t="n">
        <f aca="false">VLOOKUP(B475,Targets!$A$2:$D$43,3,FALSE())</f>
        <v>0.92</v>
      </c>
      <c r="J475" s="22" t="n">
        <f aca="false">H475-I475</f>
        <v>-0.172755905511811</v>
      </c>
      <c r="K475" s="2" t="str">
        <f aca="false">IF(J475&lt;-Targets!$F$2,"Under",IF(J475&gt;Targets!$F$2,"Over","On Track"))</f>
        <v>Under</v>
      </c>
    </row>
    <row r="476" customFormat="false" ht="15" hidden="false" customHeight="false" outlineLevel="0" collapsed="false">
      <c r="A476" s="17" t="n">
        <v>46357</v>
      </c>
      <c r="B476" s="18" t="s">
        <v>54</v>
      </c>
      <c r="C476" s="2" t="str">
        <f aca="false">VLOOKUP(B476,Targets!$A$2:$D$43,2,FALSE())</f>
        <v>South</v>
      </c>
      <c r="D476" s="19" t="n">
        <v>3340</v>
      </c>
      <c r="E476" s="19" t="n">
        <v>3091</v>
      </c>
      <c r="F476" s="20" t="n">
        <f aca="false">E476-D476</f>
        <v>-249</v>
      </c>
      <c r="G476" s="21" t="n">
        <f aca="false">IF(D476=0,0,F476/D476)</f>
        <v>-0.0745508982035928</v>
      </c>
      <c r="H476" s="21" t="n">
        <f aca="false">IF(D476=0,0,E476/D476)</f>
        <v>0.925449101796407</v>
      </c>
      <c r="I476" s="21" t="n">
        <f aca="false">VLOOKUP(B476,Targets!$A$2:$D$43,3,FALSE())</f>
        <v>0.9</v>
      </c>
      <c r="J476" s="22" t="n">
        <f aca="false">H476-I476</f>
        <v>0.0254491017964071</v>
      </c>
      <c r="K476" s="2" t="str">
        <f aca="false">IF(J476&lt;-Targets!$F$2,"Under",IF(J476&gt;Targets!$F$2,"Over","On Track"))</f>
        <v>On Track</v>
      </c>
    </row>
    <row r="477" customFormat="false" ht="15" hidden="false" customHeight="false" outlineLevel="0" collapsed="false">
      <c r="A477" s="17" t="n">
        <v>46357</v>
      </c>
      <c r="B477" s="18" t="s">
        <v>55</v>
      </c>
      <c r="C477" s="2" t="str">
        <f aca="false">VLOOKUP(B477,Targets!$A$2:$D$43,2,FALSE())</f>
        <v>South</v>
      </c>
      <c r="D477" s="19" t="n">
        <v>1430</v>
      </c>
      <c r="E477" s="19" t="n">
        <v>1230</v>
      </c>
      <c r="F477" s="20" t="n">
        <f aca="false">E477-D477</f>
        <v>-200</v>
      </c>
      <c r="G477" s="21" t="n">
        <f aca="false">IF(D477=0,0,F477/D477)</f>
        <v>-0.13986013986014</v>
      </c>
      <c r="H477" s="21" t="n">
        <f aca="false">IF(D477=0,0,E477/D477)</f>
        <v>0.86013986013986</v>
      </c>
      <c r="I477" s="21" t="n">
        <f aca="false">VLOOKUP(B477,Targets!$A$2:$D$43,3,FALSE())</f>
        <v>0.92</v>
      </c>
      <c r="J477" s="22" t="n">
        <f aca="false">H477-I477</f>
        <v>-0.0598601398601399</v>
      </c>
      <c r="K477" s="2" t="str">
        <f aca="false">IF(J477&lt;-Targets!$F$2,"Under",IF(J477&gt;Targets!$F$2,"Over","On Track"))</f>
        <v>Under</v>
      </c>
    </row>
    <row r="478" customFormat="false" ht="15" hidden="false" customHeight="false" outlineLevel="0" collapsed="false">
      <c r="A478" s="17" t="n">
        <v>46357</v>
      </c>
      <c r="B478" s="18" t="s">
        <v>56</v>
      </c>
      <c r="C478" s="2" t="str">
        <f aca="false">VLOOKUP(B478,Targets!$A$2:$D$43,2,FALSE())</f>
        <v>East</v>
      </c>
      <c r="D478" s="19" t="n">
        <v>3020</v>
      </c>
      <c r="E478" s="19" t="n">
        <v>2801</v>
      </c>
      <c r="F478" s="20" t="n">
        <f aca="false">E478-D478</f>
        <v>-219</v>
      </c>
      <c r="G478" s="21" t="n">
        <f aca="false">IF(D478=0,0,F478/D478)</f>
        <v>-0.0725165562913907</v>
      </c>
      <c r="H478" s="21" t="n">
        <f aca="false">IF(D478=0,0,E478/D478)</f>
        <v>0.927483443708609</v>
      </c>
      <c r="I478" s="21" t="n">
        <f aca="false">VLOOKUP(B478,Targets!$A$2:$D$43,3,FALSE())</f>
        <v>0.92</v>
      </c>
      <c r="J478" s="22" t="n">
        <f aca="false">H478-I478</f>
        <v>0.00748344370860921</v>
      </c>
      <c r="K478" s="2" t="str">
        <f aca="false">IF(J478&lt;-Targets!$F$2,"Under",IF(J478&gt;Targets!$F$2,"Over","On Track"))</f>
        <v>On Track</v>
      </c>
    </row>
    <row r="479" customFormat="false" ht="15" hidden="false" customHeight="false" outlineLevel="0" collapsed="false">
      <c r="A479" s="17" t="n">
        <v>46357</v>
      </c>
      <c r="B479" s="18" t="s">
        <v>57</v>
      </c>
      <c r="C479" s="2" t="str">
        <f aca="false">VLOOKUP(B479,Targets!$A$2:$D$43,2,FALSE())</f>
        <v>East</v>
      </c>
      <c r="D479" s="19" t="n">
        <v>2650</v>
      </c>
      <c r="E479" s="19" t="n">
        <v>2111</v>
      </c>
      <c r="F479" s="20" t="n">
        <f aca="false">E479-D479</f>
        <v>-539</v>
      </c>
      <c r="G479" s="21" t="n">
        <f aca="false">IF(D479=0,0,F479/D479)</f>
        <v>-0.203396226415094</v>
      </c>
      <c r="H479" s="21" t="n">
        <f aca="false">IF(D479=0,0,E479/D479)</f>
        <v>0.796603773584906</v>
      </c>
      <c r="I479" s="21" t="n">
        <f aca="false">VLOOKUP(B479,Targets!$A$2:$D$43,3,FALSE())</f>
        <v>0.88</v>
      </c>
      <c r="J479" s="22" t="n">
        <f aca="false">H479-I479</f>
        <v>-0.0833962264150944</v>
      </c>
      <c r="K479" s="2" t="str">
        <f aca="false">IF(J479&lt;-Targets!$F$2,"Under",IF(J479&gt;Targets!$F$2,"Over","On Track"))</f>
        <v>Under</v>
      </c>
    </row>
    <row r="480" customFormat="false" ht="15" hidden="false" customHeight="false" outlineLevel="0" collapsed="false">
      <c r="A480" s="17" t="n">
        <v>46357</v>
      </c>
      <c r="B480" s="18" t="s">
        <v>58</v>
      </c>
      <c r="C480" s="2" t="str">
        <f aca="false">VLOOKUP(B480,Targets!$A$2:$D$43,2,FALSE())</f>
        <v>East</v>
      </c>
      <c r="D480" s="19" t="n">
        <v>1480</v>
      </c>
      <c r="E480" s="19" t="n">
        <v>1258</v>
      </c>
      <c r="F480" s="20" t="n">
        <f aca="false">E480-D480</f>
        <v>-222</v>
      </c>
      <c r="G480" s="21" t="n">
        <f aca="false">IF(D480=0,0,F480/D480)</f>
        <v>-0.15</v>
      </c>
      <c r="H480" s="21" t="n">
        <f aca="false">IF(D480=0,0,E480/D480)</f>
        <v>0.85</v>
      </c>
      <c r="I480" s="21" t="n">
        <f aca="false">VLOOKUP(B480,Targets!$A$2:$D$43,3,FALSE())</f>
        <v>0.92</v>
      </c>
      <c r="J480" s="22" t="n">
        <f aca="false">H480-I480</f>
        <v>-0.0700000000000001</v>
      </c>
      <c r="K480" s="2" t="str">
        <f aca="false">IF(J480&lt;-Targets!$F$2,"Under",IF(J480&gt;Targets!$F$2,"Over","On Track"))</f>
        <v>Under</v>
      </c>
    </row>
    <row r="481" customFormat="false" ht="15" hidden="false" customHeight="false" outlineLevel="0" collapsed="false">
      <c r="A481" s="17" t="n">
        <v>46357</v>
      </c>
      <c r="B481" s="18" t="s">
        <v>59</v>
      </c>
      <c r="C481" s="2" t="str">
        <f aca="false">VLOOKUP(B481,Targets!$A$2:$D$43,2,FALSE())</f>
        <v>East</v>
      </c>
      <c r="D481" s="19" t="n">
        <v>1380</v>
      </c>
      <c r="E481" s="19" t="n">
        <v>1259</v>
      </c>
      <c r="F481" s="20" t="n">
        <f aca="false">E481-D481</f>
        <v>-121</v>
      </c>
      <c r="G481" s="21" t="n">
        <f aca="false">IF(D481=0,0,F481/D481)</f>
        <v>-0.0876811594202899</v>
      </c>
      <c r="H481" s="21" t="n">
        <f aca="false">IF(D481=0,0,E481/D481)</f>
        <v>0.91231884057971</v>
      </c>
      <c r="I481" s="21" t="n">
        <f aca="false">VLOOKUP(B481,Targets!$A$2:$D$43,3,FALSE())</f>
        <v>0.88</v>
      </c>
      <c r="J481" s="22" t="n">
        <f aca="false">H481-I481</f>
        <v>0.0323188405797101</v>
      </c>
      <c r="K481" s="2" t="str">
        <f aca="false">IF(J481&lt;-Targets!$F$2,"Under",IF(J481&gt;Targets!$F$2,"Over","On Track"))</f>
        <v>On Track</v>
      </c>
    </row>
    <row r="482" customFormat="false" ht="15" hidden="false" customHeight="false" outlineLevel="0" collapsed="false">
      <c r="A482" s="17" t="n">
        <v>46357</v>
      </c>
      <c r="B482" s="18" t="s">
        <v>60</v>
      </c>
      <c r="C482" s="2" t="str">
        <f aca="false">VLOOKUP(B482,Targets!$A$2:$D$43,2,FALSE())</f>
        <v>East</v>
      </c>
      <c r="D482" s="19" t="n">
        <v>3230</v>
      </c>
      <c r="E482" s="19" t="n">
        <v>2925</v>
      </c>
      <c r="F482" s="20" t="n">
        <f aca="false">E482-D482</f>
        <v>-305</v>
      </c>
      <c r="G482" s="21" t="n">
        <f aca="false">IF(D482=0,0,F482/D482)</f>
        <v>-0.0944272445820433</v>
      </c>
      <c r="H482" s="21" t="n">
        <f aca="false">IF(D482=0,0,E482/D482)</f>
        <v>0.905572755417957</v>
      </c>
      <c r="I482" s="21" t="n">
        <f aca="false">VLOOKUP(B482,Targets!$A$2:$D$43,3,FALSE())</f>
        <v>0.88</v>
      </c>
      <c r="J482" s="22" t="n">
        <f aca="false">H482-I482</f>
        <v>0.0255727554179567</v>
      </c>
      <c r="K482" s="2" t="str">
        <f aca="false">IF(J482&lt;-Targets!$F$2,"Under",IF(J482&gt;Targets!$F$2,"Over","On Track"))</f>
        <v>On Track</v>
      </c>
    </row>
    <row r="483" customFormat="false" ht="15" hidden="false" customHeight="false" outlineLevel="0" collapsed="false">
      <c r="A483" s="17" t="n">
        <v>46357</v>
      </c>
      <c r="B483" s="18" t="s">
        <v>61</v>
      </c>
      <c r="C483" s="2" t="str">
        <f aca="false">VLOOKUP(B483,Targets!$A$2:$D$43,2,FALSE())</f>
        <v>East</v>
      </c>
      <c r="D483" s="19" t="n">
        <v>1750</v>
      </c>
      <c r="E483" s="19" t="n">
        <v>1295</v>
      </c>
      <c r="F483" s="20" t="n">
        <f aca="false">E483-D483</f>
        <v>-455</v>
      </c>
      <c r="G483" s="21" t="n">
        <f aca="false">IF(D483=0,0,F483/D483)</f>
        <v>-0.26</v>
      </c>
      <c r="H483" s="21" t="n">
        <f aca="false">IF(D483=0,0,E483/D483)</f>
        <v>0.74</v>
      </c>
      <c r="I483" s="21" t="n">
        <f aca="false">VLOOKUP(B483,Targets!$A$2:$D$43,3,FALSE())</f>
        <v>0.88</v>
      </c>
      <c r="J483" s="22" t="n">
        <f aca="false">H483-I483</f>
        <v>-0.14</v>
      </c>
      <c r="K483" s="2" t="str">
        <f aca="false">IF(J483&lt;-Targets!$F$2,"Under",IF(J483&gt;Targets!$F$2,"Over","On Track"))</f>
        <v>Under</v>
      </c>
    </row>
    <row r="484" customFormat="false" ht="15" hidden="false" customHeight="false" outlineLevel="0" collapsed="false">
      <c r="A484" s="17" t="n">
        <v>46357</v>
      </c>
      <c r="B484" s="18" t="s">
        <v>62</v>
      </c>
      <c r="C484" s="2" t="str">
        <f aca="false">VLOOKUP(B484,Targets!$A$2:$D$43,2,FALSE())</f>
        <v>East</v>
      </c>
      <c r="D484" s="19" t="n">
        <v>2010</v>
      </c>
      <c r="E484" s="19" t="n">
        <v>1928</v>
      </c>
      <c r="F484" s="20" t="n">
        <f aca="false">E484-D484</f>
        <v>-82</v>
      </c>
      <c r="G484" s="21" t="n">
        <f aca="false">IF(D484=0,0,F484/D484)</f>
        <v>-0.0407960199004975</v>
      </c>
      <c r="H484" s="21" t="n">
        <f aca="false">IF(D484=0,0,E484/D484)</f>
        <v>0.959203980099503</v>
      </c>
      <c r="I484" s="21" t="n">
        <f aca="false">VLOOKUP(B484,Targets!$A$2:$D$43,3,FALSE())</f>
        <v>0.92</v>
      </c>
      <c r="J484" s="22" t="n">
        <f aca="false">H484-I484</f>
        <v>0.0392039800995024</v>
      </c>
      <c r="K484" s="2" t="str">
        <f aca="false">IF(J484&lt;-Targets!$F$2,"Under",IF(J484&gt;Targets!$F$2,"Over","On Track"))</f>
        <v>On Track</v>
      </c>
    </row>
    <row r="485" customFormat="false" ht="15" hidden="false" customHeight="false" outlineLevel="0" collapsed="false">
      <c r="A485" s="17" t="n">
        <v>46357</v>
      </c>
      <c r="B485" s="18" t="s">
        <v>63</v>
      </c>
      <c r="C485" s="2" t="str">
        <f aca="false">VLOOKUP(B485,Targets!$A$2:$D$43,2,FALSE())</f>
        <v>West</v>
      </c>
      <c r="D485" s="19" t="n">
        <v>2540</v>
      </c>
      <c r="E485" s="19" t="n">
        <v>2357</v>
      </c>
      <c r="F485" s="20" t="n">
        <f aca="false">E485-D485</f>
        <v>-183</v>
      </c>
      <c r="G485" s="21" t="n">
        <f aca="false">IF(D485=0,0,F485/D485)</f>
        <v>-0.0720472440944882</v>
      </c>
      <c r="H485" s="21" t="n">
        <f aca="false">IF(D485=0,0,E485/D485)</f>
        <v>0.927952755905512</v>
      </c>
      <c r="I485" s="21" t="n">
        <f aca="false">VLOOKUP(B485,Targets!$A$2:$D$43,3,FALSE())</f>
        <v>0.85</v>
      </c>
      <c r="J485" s="22" t="n">
        <f aca="false">H485-I485</f>
        <v>0.0779527559055119</v>
      </c>
      <c r="K485" s="2" t="str">
        <f aca="false">IF(J485&lt;-Targets!$F$2,"Under",IF(J485&gt;Targets!$F$2,"Over","On Track"))</f>
        <v>Over</v>
      </c>
    </row>
    <row r="486" customFormat="false" ht="15" hidden="false" customHeight="false" outlineLevel="0" collapsed="false">
      <c r="A486" s="17" t="n">
        <v>46357</v>
      </c>
      <c r="B486" s="18" t="s">
        <v>64</v>
      </c>
      <c r="C486" s="2" t="str">
        <f aca="false">VLOOKUP(B486,Targets!$A$2:$D$43,2,FALSE())</f>
        <v>West</v>
      </c>
      <c r="D486" s="19" t="n">
        <v>2010</v>
      </c>
      <c r="E486" s="19" t="n">
        <v>1995</v>
      </c>
      <c r="F486" s="20" t="n">
        <f aca="false">E486-D486</f>
        <v>-15</v>
      </c>
      <c r="G486" s="21" t="n">
        <f aca="false">IF(D486=0,0,F486/D486)</f>
        <v>-0.00746268656716418</v>
      </c>
      <c r="H486" s="21" t="n">
        <f aca="false">IF(D486=0,0,E486/D486)</f>
        <v>0.992537313432836</v>
      </c>
      <c r="I486" s="21" t="n">
        <f aca="false">VLOOKUP(B486,Targets!$A$2:$D$43,3,FALSE())</f>
        <v>0.92</v>
      </c>
      <c r="J486" s="22" t="n">
        <f aca="false">H486-I486</f>
        <v>0.0725373134328358</v>
      </c>
      <c r="K486" s="2" t="str">
        <f aca="false">IF(J486&lt;-Targets!$F$2,"Under",IF(J486&gt;Targets!$F$2,"Over","On Track"))</f>
        <v>Over</v>
      </c>
    </row>
    <row r="487" customFormat="false" ht="15" hidden="false" customHeight="false" outlineLevel="0" collapsed="false">
      <c r="A487" s="17" t="n">
        <v>46357</v>
      </c>
      <c r="B487" s="18" t="s">
        <v>65</v>
      </c>
      <c r="C487" s="2" t="str">
        <f aca="false">VLOOKUP(B487,Targets!$A$2:$D$43,2,FALSE())</f>
        <v>West</v>
      </c>
      <c r="D487" s="19" t="n">
        <v>950</v>
      </c>
      <c r="E487" s="19" t="n">
        <v>861</v>
      </c>
      <c r="F487" s="20" t="n">
        <f aca="false">E487-D487</f>
        <v>-89</v>
      </c>
      <c r="G487" s="21" t="n">
        <f aca="false">IF(D487=0,0,F487/D487)</f>
        <v>-0.0936842105263158</v>
      </c>
      <c r="H487" s="21" t="n">
        <f aca="false">IF(D487=0,0,E487/D487)</f>
        <v>0.906315789473684</v>
      </c>
      <c r="I487" s="21" t="n">
        <f aca="false">VLOOKUP(B487,Targets!$A$2:$D$43,3,FALSE())</f>
        <v>0.92</v>
      </c>
      <c r="J487" s="22" t="n">
        <f aca="false">H487-I487</f>
        <v>-0.0136842105263159</v>
      </c>
      <c r="K487" s="2" t="str">
        <f aca="false">IF(J487&lt;-Targets!$F$2,"Under",IF(J487&gt;Targets!$F$2,"Over","On Track"))</f>
        <v>On Track</v>
      </c>
    </row>
    <row r="488" customFormat="false" ht="15" hidden="false" customHeight="false" outlineLevel="0" collapsed="false">
      <c r="A488" s="17" t="n">
        <v>46357</v>
      </c>
      <c r="B488" s="18" t="s">
        <v>66</v>
      </c>
      <c r="C488" s="2" t="str">
        <f aca="false">VLOOKUP(B488,Targets!$A$2:$D$43,2,FALSE())</f>
        <v>West</v>
      </c>
      <c r="D488" s="19" t="n">
        <v>1540</v>
      </c>
      <c r="E488" s="19" t="n">
        <v>1501</v>
      </c>
      <c r="F488" s="20" t="n">
        <f aca="false">E488-D488</f>
        <v>-39</v>
      </c>
      <c r="G488" s="21" t="n">
        <f aca="false">IF(D488=0,0,F488/D488)</f>
        <v>-0.0253246753246753</v>
      </c>
      <c r="H488" s="21" t="n">
        <f aca="false">IF(D488=0,0,E488/D488)</f>
        <v>0.974675324675325</v>
      </c>
      <c r="I488" s="21" t="n">
        <f aca="false">VLOOKUP(B488,Targets!$A$2:$D$43,3,FALSE())</f>
        <v>0.92</v>
      </c>
      <c r="J488" s="22" t="n">
        <f aca="false">H488-I488</f>
        <v>0.0546753246753247</v>
      </c>
      <c r="K488" s="2" t="str">
        <f aca="false">IF(J488&lt;-Targets!$F$2,"Under",IF(J488&gt;Targets!$F$2,"Over","On Track"))</f>
        <v>Over</v>
      </c>
    </row>
    <row r="489" customFormat="false" ht="15" hidden="false" customHeight="false" outlineLevel="0" collapsed="false">
      <c r="A489" s="17" t="n">
        <v>46357</v>
      </c>
      <c r="B489" s="18" t="s">
        <v>67</v>
      </c>
      <c r="C489" s="2" t="str">
        <f aca="false">VLOOKUP(B489,Targets!$A$2:$D$43,2,FALSE())</f>
        <v>West</v>
      </c>
      <c r="D489" s="19" t="n">
        <v>2070</v>
      </c>
      <c r="E489" s="19" t="n">
        <v>1928</v>
      </c>
      <c r="F489" s="20" t="n">
        <f aca="false">E489-D489</f>
        <v>-142</v>
      </c>
      <c r="G489" s="21" t="n">
        <f aca="false">IF(D489=0,0,F489/D489)</f>
        <v>-0.0685990338164251</v>
      </c>
      <c r="H489" s="21" t="n">
        <f aca="false">IF(D489=0,0,E489/D489)</f>
        <v>0.931400966183575</v>
      </c>
      <c r="I489" s="21" t="n">
        <f aca="false">VLOOKUP(B489,Targets!$A$2:$D$43,3,FALSE())</f>
        <v>0.92</v>
      </c>
      <c r="J489" s="22" t="n">
        <f aca="false">H489-I489</f>
        <v>0.0114009661835749</v>
      </c>
      <c r="K489" s="2" t="str">
        <f aca="false">IF(J489&lt;-Targets!$F$2,"Under",IF(J489&gt;Targets!$F$2,"Over","On Track"))</f>
        <v>On Track</v>
      </c>
    </row>
    <row r="490" customFormat="false" ht="15" hidden="false" customHeight="false" outlineLevel="0" collapsed="false">
      <c r="A490" s="17" t="n">
        <v>46357</v>
      </c>
      <c r="B490" s="18" t="s">
        <v>68</v>
      </c>
      <c r="C490" s="2" t="str">
        <f aca="false">VLOOKUP(B490,Targets!$A$2:$D$43,2,FALSE())</f>
        <v>West</v>
      </c>
      <c r="D490" s="19" t="n">
        <v>2810</v>
      </c>
      <c r="E490" s="19" t="n">
        <v>2725</v>
      </c>
      <c r="F490" s="20" t="n">
        <f aca="false">E490-D490</f>
        <v>-85</v>
      </c>
      <c r="G490" s="21" t="n">
        <f aca="false">IF(D490=0,0,F490/D490)</f>
        <v>-0.0302491103202847</v>
      </c>
      <c r="H490" s="21" t="n">
        <f aca="false">IF(D490=0,0,E490/D490)</f>
        <v>0.969750889679715</v>
      </c>
      <c r="I490" s="21" t="n">
        <f aca="false">VLOOKUP(B490,Targets!$A$2:$D$43,3,FALSE())</f>
        <v>0.9</v>
      </c>
      <c r="J490" s="22" t="n">
        <f aca="false">H490-I490</f>
        <v>0.0697508896797153</v>
      </c>
      <c r="K490" s="2" t="str">
        <f aca="false">IF(J490&lt;-Targets!$F$2,"Under",IF(J490&gt;Targets!$F$2,"Over","On Track"))</f>
        <v>Over</v>
      </c>
    </row>
    <row r="491" customFormat="false" ht="15" hidden="false" customHeight="false" outlineLevel="0" collapsed="false">
      <c r="A491" s="17" t="n">
        <v>46357</v>
      </c>
      <c r="B491" s="18" t="s">
        <v>69</v>
      </c>
      <c r="C491" s="2" t="str">
        <f aca="false">VLOOKUP(B491,Targets!$A$2:$D$43,2,FALSE())</f>
        <v>West</v>
      </c>
      <c r="D491" s="19" t="n">
        <v>2380</v>
      </c>
      <c r="E491" s="19" t="n">
        <v>2508</v>
      </c>
      <c r="F491" s="20" t="n">
        <f aca="false">E491-D491</f>
        <v>128</v>
      </c>
      <c r="G491" s="21" t="n">
        <f aca="false">IF(D491=0,0,F491/D491)</f>
        <v>0.053781512605042</v>
      </c>
      <c r="H491" s="21" t="n">
        <f aca="false">IF(D491=0,0,E491/D491)</f>
        <v>1.05378151260504</v>
      </c>
      <c r="I491" s="21" t="n">
        <f aca="false">VLOOKUP(B491,Targets!$A$2:$D$43,3,FALSE())</f>
        <v>0.92</v>
      </c>
      <c r="J491" s="22" t="n">
        <f aca="false">H491-I491</f>
        <v>0.133781512605042</v>
      </c>
      <c r="K491" s="2" t="str">
        <f aca="false">IF(J491&lt;-Targets!$F$2,"Under",IF(J491&gt;Targets!$F$2,"Over","On Track"))</f>
        <v>Over</v>
      </c>
    </row>
    <row r="492" customFormat="false" ht="15" hidden="false" customHeight="false" outlineLevel="0" collapsed="false">
      <c r="A492" s="17" t="n">
        <v>46357</v>
      </c>
      <c r="B492" s="18" t="s">
        <v>70</v>
      </c>
      <c r="C492" s="2" t="str">
        <f aca="false">VLOOKUP(B492,Targets!$A$2:$D$43,2,FALSE())</f>
        <v>Central</v>
      </c>
      <c r="D492" s="19" t="n">
        <v>1960</v>
      </c>
      <c r="E492" s="19" t="n">
        <v>1752</v>
      </c>
      <c r="F492" s="20" t="n">
        <f aca="false">E492-D492</f>
        <v>-208</v>
      </c>
      <c r="G492" s="21" t="n">
        <f aca="false">IF(D492=0,0,F492/D492)</f>
        <v>-0.106122448979592</v>
      </c>
      <c r="H492" s="21" t="n">
        <f aca="false">IF(D492=0,0,E492/D492)</f>
        <v>0.893877551020408</v>
      </c>
      <c r="I492" s="21" t="n">
        <f aca="false">VLOOKUP(B492,Targets!$A$2:$D$43,3,FALSE())</f>
        <v>0.9</v>
      </c>
      <c r="J492" s="22" t="n">
        <f aca="false">H492-I492</f>
        <v>-0.00612244897959191</v>
      </c>
      <c r="K492" s="2" t="str">
        <f aca="false">IF(J492&lt;-Targets!$F$2,"Under",IF(J492&gt;Targets!$F$2,"Over","On Track"))</f>
        <v>On Track</v>
      </c>
    </row>
    <row r="493" customFormat="false" ht="15" hidden="false" customHeight="false" outlineLevel="0" collapsed="false">
      <c r="A493" s="17" t="n">
        <v>46357</v>
      </c>
      <c r="B493" s="18" t="s">
        <v>71</v>
      </c>
      <c r="C493" s="2" t="str">
        <f aca="false">VLOOKUP(B493,Targets!$A$2:$D$43,2,FALSE())</f>
        <v>Central</v>
      </c>
      <c r="D493" s="19" t="n">
        <v>1380</v>
      </c>
      <c r="E493" s="19" t="n">
        <v>1190</v>
      </c>
      <c r="F493" s="20" t="n">
        <f aca="false">E493-D493</f>
        <v>-190</v>
      </c>
      <c r="G493" s="21" t="n">
        <f aca="false">IF(D493=0,0,F493/D493)</f>
        <v>-0.13768115942029</v>
      </c>
      <c r="H493" s="21" t="n">
        <f aca="false">IF(D493=0,0,E493/D493)</f>
        <v>0.86231884057971</v>
      </c>
      <c r="I493" s="21" t="n">
        <f aca="false">VLOOKUP(B493,Targets!$A$2:$D$43,3,FALSE())</f>
        <v>0.85</v>
      </c>
      <c r="J493" s="22" t="n">
        <f aca="false">H493-I493</f>
        <v>0.0123188405797102</v>
      </c>
      <c r="K493" s="2" t="str">
        <f aca="false">IF(J493&lt;-Targets!$F$2,"Under",IF(J493&gt;Targets!$F$2,"Over","On Track"))</f>
        <v>On Track</v>
      </c>
    </row>
    <row r="494" customFormat="false" ht="15" hidden="false" customHeight="false" outlineLevel="0" collapsed="false">
      <c r="A494" s="17" t="n">
        <v>46357</v>
      </c>
      <c r="B494" s="18" t="s">
        <v>72</v>
      </c>
      <c r="C494" s="2" t="str">
        <f aca="false">VLOOKUP(B494,Targets!$A$2:$D$43,2,FALSE())</f>
        <v>Central</v>
      </c>
      <c r="D494" s="19" t="n">
        <v>2860</v>
      </c>
      <c r="E494" s="19" t="n">
        <v>2278</v>
      </c>
      <c r="F494" s="20" t="n">
        <f aca="false">E494-D494</f>
        <v>-582</v>
      </c>
      <c r="G494" s="21" t="n">
        <f aca="false">IF(D494=0,0,F494/D494)</f>
        <v>-0.203496503496504</v>
      </c>
      <c r="H494" s="21" t="n">
        <f aca="false">IF(D494=0,0,E494/D494)</f>
        <v>0.796503496503497</v>
      </c>
      <c r="I494" s="21" t="n">
        <f aca="false">VLOOKUP(B494,Targets!$A$2:$D$43,3,FALSE())</f>
        <v>0.85</v>
      </c>
      <c r="J494" s="22" t="n">
        <f aca="false">H494-I494</f>
        <v>-0.0534965034965035</v>
      </c>
      <c r="K494" s="2" t="str">
        <f aca="false">IF(J494&lt;-Targets!$F$2,"Under",IF(J494&gt;Targets!$F$2,"Over","On Track"))</f>
        <v>Under</v>
      </c>
    </row>
    <row r="495" customFormat="false" ht="15" hidden="false" customHeight="false" outlineLevel="0" collapsed="false">
      <c r="A495" s="17" t="n">
        <v>46357</v>
      </c>
      <c r="B495" s="18" t="s">
        <v>73</v>
      </c>
      <c r="C495" s="2" t="str">
        <f aca="false">VLOOKUP(B495,Targets!$A$2:$D$43,2,FALSE())</f>
        <v>Central</v>
      </c>
      <c r="D495" s="19" t="n">
        <v>1380</v>
      </c>
      <c r="E495" s="19" t="n">
        <v>1050</v>
      </c>
      <c r="F495" s="20" t="n">
        <f aca="false">E495-D495</f>
        <v>-330</v>
      </c>
      <c r="G495" s="21" t="n">
        <f aca="false">IF(D495=0,0,F495/D495)</f>
        <v>-0.239130434782609</v>
      </c>
      <c r="H495" s="21" t="n">
        <f aca="false">IF(D495=0,0,E495/D495)</f>
        <v>0.760869565217391</v>
      </c>
      <c r="I495" s="21" t="n">
        <f aca="false">VLOOKUP(B495,Targets!$A$2:$D$43,3,FALSE())</f>
        <v>0.85</v>
      </c>
      <c r="J495" s="22" t="n">
        <f aca="false">H495-I495</f>
        <v>-0.0891304347826086</v>
      </c>
      <c r="K495" s="2" t="str">
        <f aca="false">IF(J495&lt;-Targets!$F$2,"Under",IF(J495&gt;Targets!$F$2,"Over","On Track"))</f>
        <v>Under</v>
      </c>
    </row>
    <row r="496" customFormat="false" ht="15" hidden="false" customHeight="false" outlineLevel="0" collapsed="false">
      <c r="A496" s="17" t="n">
        <v>46357</v>
      </c>
      <c r="B496" s="18" t="s">
        <v>74</v>
      </c>
      <c r="C496" s="2" t="str">
        <f aca="false">VLOOKUP(B496,Targets!$A$2:$D$43,2,FALSE())</f>
        <v>Central</v>
      </c>
      <c r="D496" s="19" t="n">
        <v>2700</v>
      </c>
      <c r="E496" s="19" t="n">
        <v>2194</v>
      </c>
      <c r="F496" s="20" t="n">
        <f aca="false">E496-D496</f>
        <v>-506</v>
      </c>
      <c r="G496" s="21" t="n">
        <f aca="false">IF(D496=0,0,F496/D496)</f>
        <v>-0.187407407407407</v>
      </c>
      <c r="H496" s="21" t="n">
        <f aca="false">IF(D496=0,0,E496/D496)</f>
        <v>0.812592592592593</v>
      </c>
      <c r="I496" s="21" t="n">
        <f aca="false">VLOOKUP(B496,Targets!$A$2:$D$43,3,FALSE())</f>
        <v>0.85</v>
      </c>
      <c r="J496" s="22" t="n">
        <f aca="false">H496-I496</f>
        <v>-0.0374074074074073</v>
      </c>
      <c r="K496" s="2" t="str">
        <f aca="false">IF(J496&lt;-Targets!$F$2,"Under",IF(J496&gt;Targets!$F$2,"Over","On Track"))</f>
        <v>On Track</v>
      </c>
    </row>
    <row r="497" customFormat="false" ht="15" hidden="false" customHeight="false" outlineLevel="0" collapsed="false">
      <c r="A497" s="17" t="n">
        <v>46357</v>
      </c>
      <c r="B497" s="18" t="s">
        <v>75</v>
      </c>
      <c r="C497" s="2" t="str">
        <f aca="false">VLOOKUP(B497,Targets!$A$2:$D$43,2,FALSE())</f>
        <v>Central</v>
      </c>
      <c r="D497" s="19" t="n">
        <v>2120</v>
      </c>
      <c r="E497" s="19" t="n">
        <v>1895</v>
      </c>
      <c r="F497" s="20" t="n">
        <f aca="false">E497-D497</f>
        <v>-225</v>
      </c>
      <c r="G497" s="21" t="n">
        <f aca="false">IF(D497=0,0,F497/D497)</f>
        <v>-0.106132075471698</v>
      </c>
      <c r="H497" s="21" t="n">
        <f aca="false">IF(D497=0,0,E497/D497)</f>
        <v>0.893867924528302</v>
      </c>
      <c r="I497" s="21" t="n">
        <f aca="false">VLOOKUP(B497,Targets!$A$2:$D$43,3,FALSE())</f>
        <v>0.88</v>
      </c>
      <c r="J497" s="22" t="n">
        <f aca="false">H497-I497</f>
        <v>0.0138679245283019</v>
      </c>
      <c r="K497" s="2" t="str">
        <f aca="false">IF(J497&lt;-Targets!$F$2,"Under",IF(J497&gt;Targets!$F$2,"Over","On Track"))</f>
        <v>On Track</v>
      </c>
    </row>
    <row r="498" customFormat="false" ht="15" hidden="false" customHeight="false" outlineLevel="0" collapsed="false">
      <c r="A498" s="17" t="n">
        <v>46357</v>
      </c>
      <c r="B498" s="18" t="s">
        <v>76</v>
      </c>
      <c r="C498" s="2" t="str">
        <f aca="false">VLOOKUP(B498,Targets!$A$2:$D$43,2,FALSE())</f>
        <v>Central</v>
      </c>
      <c r="D498" s="19" t="n">
        <v>2280</v>
      </c>
      <c r="E498" s="19" t="n">
        <v>2133</v>
      </c>
      <c r="F498" s="20" t="n">
        <f aca="false">E498-D498</f>
        <v>-147</v>
      </c>
      <c r="G498" s="21" t="n">
        <f aca="false">IF(D498=0,0,F498/D498)</f>
        <v>-0.0644736842105263</v>
      </c>
      <c r="H498" s="21" t="n">
        <f aca="false">IF(D498=0,0,E498/D498)</f>
        <v>0.935526315789474</v>
      </c>
      <c r="I498" s="21" t="n">
        <f aca="false">VLOOKUP(B498,Targets!$A$2:$D$43,3,FALSE())</f>
        <v>0.9</v>
      </c>
      <c r="J498" s="22" t="n">
        <f aca="false">H498-I498</f>
        <v>0.0355263157894736</v>
      </c>
      <c r="K498" s="2" t="str">
        <f aca="false">IF(J498&lt;-Targets!$F$2,"Under",IF(J498&gt;Targets!$F$2,"Over","On Track"))</f>
        <v>On Track</v>
      </c>
    </row>
    <row r="499" customFormat="false" ht="15" hidden="false" customHeight="false" outlineLevel="0" collapsed="false">
      <c r="A499" s="17" t="n">
        <v>46357</v>
      </c>
      <c r="B499" s="18" t="s">
        <v>77</v>
      </c>
      <c r="C499" s="2" t="str">
        <f aca="false">VLOOKUP(B499,Targets!$A$2:$D$43,2,FALSE())</f>
        <v>North-East</v>
      </c>
      <c r="D499" s="19" t="n">
        <v>1860</v>
      </c>
      <c r="E499" s="19" t="n">
        <v>1505</v>
      </c>
      <c r="F499" s="20" t="n">
        <f aca="false">E499-D499</f>
        <v>-355</v>
      </c>
      <c r="G499" s="21" t="n">
        <f aca="false">IF(D499=0,0,F499/D499)</f>
        <v>-0.190860215053763</v>
      </c>
      <c r="H499" s="21" t="n">
        <f aca="false">IF(D499=0,0,E499/D499)</f>
        <v>0.809139784946237</v>
      </c>
      <c r="I499" s="21" t="n">
        <f aca="false">VLOOKUP(B499,Targets!$A$2:$D$43,3,FALSE())</f>
        <v>0.88</v>
      </c>
      <c r="J499" s="22" t="n">
        <f aca="false">H499-I499</f>
        <v>-0.0708602150537635</v>
      </c>
      <c r="K499" s="2" t="str">
        <f aca="false">IF(J499&lt;-Targets!$F$2,"Under",IF(J499&gt;Targets!$F$2,"Over","On Track"))</f>
        <v>Under</v>
      </c>
    </row>
    <row r="500" customFormat="false" ht="15" hidden="false" customHeight="false" outlineLevel="0" collapsed="false">
      <c r="A500" s="17" t="n">
        <v>46357</v>
      </c>
      <c r="B500" s="18" t="s">
        <v>78</v>
      </c>
      <c r="C500" s="2" t="str">
        <f aca="false">VLOOKUP(B500,Targets!$A$2:$D$43,2,FALSE())</f>
        <v>North-East</v>
      </c>
      <c r="D500" s="19" t="n">
        <v>1430</v>
      </c>
      <c r="E500" s="19" t="n">
        <v>1237</v>
      </c>
      <c r="F500" s="20" t="n">
        <f aca="false">E500-D500</f>
        <v>-193</v>
      </c>
      <c r="G500" s="21" t="n">
        <f aca="false">IF(D500=0,0,F500/D500)</f>
        <v>-0.134965034965035</v>
      </c>
      <c r="H500" s="21" t="n">
        <f aca="false">IF(D500=0,0,E500/D500)</f>
        <v>0.865034965034965</v>
      </c>
      <c r="I500" s="21" t="n">
        <f aca="false">VLOOKUP(B500,Targets!$A$2:$D$43,3,FALSE())</f>
        <v>0.92</v>
      </c>
      <c r="J500" s="22" t="n">
        <f aca="false">H500-I500</f>
        <v>-0.054965034965035</v>
      </c>
      <c r="K500" s="2" t="str">
        <f aca="false">IF(J500&lt;-Targets!$F$2,"Under",IF(J500&gt;Targets!$F$2,"Over","On Track"))</f>
        <v>Under</v>
      </c>
    </row>
    <row r="501" customFormat="false" ht="15" hidden="false" customHeight="false" outlineLevel="0" collapsed="false">
      <c r="A501" s="17" t="n">
        <v>46357</v>
      </c>
      <c r="B501" s="18" t="s">
        <v>79</v>
      </c>
      <c r="C501" s="2" t="str">
        <f aca="false">VLOOKUP(B501,Targets!$A$2:$D$43,2,FALSE())</f>
        <v>North-East</v>
      </c>
      <c r="D501" s="19" t="n">
        <v>1320</v>
      </c>
      <c r="E501" s="19" t="n">
        <v>1099</v>
      </c>
      <c r="F501" s="20" t="n">
        <f aca="false">E501-D501</f>
        <v>-221</v>
      </c>
      <c r="G501" s="21" t="n">
        <f aca="false">IF(D501=0,0,F501/D501)</f>
        <v>-0.167424242424242</v>
      </c>
      <c r="H501" s="21" t="n">
        <f aca="false">IF(D501=0,0,E501/D501)</f>
        <v>0.832575757575758</v>
      </c>
      <c r="I501" s="21" t="n">
        <f aca="false">VLOOKUP(B501,Targets!$A$2:$D$43,3,FALSE())</f>
        <v>0.92</v>
      </c>
      <c r="J501" s="22" t="n">
        <f aca="false">H501-I501</f>
        <v>-0.0874242424242425</v>
      </c>
      <c r="K501" s="2" t="str">
        <f aca="false">IF(J501&lt;-Targets!$F$2,"Under",IF(J501&gt;Targets!$F$2,"Over","On Track"))</f>
        <v>Under</v>
      </c>
    </row>
    <row r="502" customFormat="false" ht="15" hidden="false" customHeight="false" outlineLevel="0" collapsed="false">
      <c r="A502" s="17" t="n">
        <v>46357</v>
      </c>
      <c r="B502" s="18" t="s">
        <v>80</v>
      </c>
      <c r="C502" s="2" t="str">
        <f aca="false">VLOOKUP(B502,Targets!$A$2:$D$43,2,FALSE())</f>
        <v>North-East</v>
      </c>
      <c r="D502" s="19" t="n">
        <v>2490</v>
      </c>
      <c r="E502" s="19" t="n">
        <v>1809</v>
      </c>
      <c r="F502" s="20" t="n">
        <f aca="false">E502-D502</f>
        <v>-681</v>
      </c>
      <c r="G502" s="21" t="n">
        <f aca="false">IF(D502=0,0,F502/D502)</f>
        <v>-0.273493975903614</v>
      </c>
      <c r="H502" s="21" t="n">
        <f aca="false">IF(D502=0,0,E502/D502)</f>
        <v>0.726506024096386</v>
      </c>
      <c r="I502" s="21" t="n">
        <f aca="false">VLOOKUP(B502,Targets!$A$2:$D$43,3,FALSE())</f>
        <v>0.88</v>
      </c>
      <c r="J502" s="22" t="n">
        <f aca="false">H502-I502</f>
        <v>-0.153493975903614</v>
      </c>
      <c r="K502" s="2" t="str">
        <f aca="false">IF(J502&lt;-Targets!$F$2,"Under",IF(J502&gt;Targets!$F$2,"Over","On Track"))</f>
        <v>Under</v>
      </c>
    </row>
    <row r="503" customFormat="false" ht="15" hidden="false" customHeight="false" outlineLevel="0" collapsed="false">
      <c r="A503" s="17" t="n">
        <v>46357</v>
      </c>
      <c r="B503" s="18" t="s">
        <v>81</v>
      </c>
      <c r="C503" s="2" t="str">
        <f aca="false">VLOOKUP(B503,Targets!$A$2:$D$43,2,FALSE())</f>
        <v>North-East</v>
      </c>
      <c r="D503" s="19" t="n">
        <v>1590</v>
      </c>
      <c r="E503" s="19" t="n">
        <v>1298</v>
      </c>
      <c r="F503" s="20" t="n">
        <f aca="false">E503-D503</f>
        <v>-292</v>
      </c>
      <c r="G503" s="21" t="n">
        <f aca="false">IF(D503=0,0,F503/D503)</f>
        <v>-0.183647798742138</v>
      </c>
      <c r="H503" s="21" t="n">
        <f aca="false">IF(D503=0,0,E503/D503)</f>
        <v>0.816352201257862</v>
      </c>
      <c r="I503" s="21" t="n">
        <f aca="false">VLOOKUP(B503,Targets!$A$2:$D$43,3,FALSE())</f>
        <v>0.88</v>
      </c>
      <c r="J503" s="22" t="n">
        <f aca="false">H503-I503</f>
        <v>-0.0636477987421383</v>
      </c>
      <c r="K503" s="2" t="str">
        <f aca="false">IF(J503&lt;-Targets!$F$2,"Under",IF(J503&gt;Targets!$F$2,"Over","On Track"))</f>
        <v>Under</v>
      </c>
    </row>
    <row r="504" customFormat="false" ht="15" hidden="false" customHeight="false" outlineLevel="0" collapsed="false">
      <c r="A504" s="17" t="n">
        <v>46357</v>
      </c>
      <c r="B504" s="18" t="s">
        <v>82</v>
      </c>
      <c r="C504" s="2" t="str">
        <f aca="false">VLOOKUP(B504,Targets!$A$2:$D$43,2,FALSE())</f>
        <v>North-East</v>
      </c>
      <c r="D504" s="19" t="n">
        <v>950</v>
      </c>
      <c r="E504" s="19" t="n">
        <v>760</v>
      </c>
      <c r="F504" s="20" t="n">
        <f aca="false">E504-D504</f>
        <v>-190</v>
      </c>
      <c r="G504" s="21" t="n">
        <f aca="false">IF(D504=0,0,F504/D504)</f>
        <v>-0.2</v>
      </c>
      <c r="H504" s="21" t="n">
        <f aca="false">IF(D504=0,0,E504/D504)</f>
        <v>0.8</v>
      </c>
      <c r="I504" s="21" t="n">
        <f aca="false">VLOOKUP(B504,Targets!$A$2:$D$43,3,FALSE())</f>
        <v>0.85</v>
      </c>
      <c r="J504" s="22" t="n">
        <f aca="false">H504-I504</f>
        <v>-0.0499999999999999</v>
      </c>
      <c r="K504" s="2" t="str">
        <f aca="false">IF(J504&lt;-Targets!$F$2,"Under",IF(J504&gt;Targets!$F$2,"Over","On Track"))</f>
        <v>On Track</v>
      </c>
    </row>
    <row r="505" customFormat="false" ht="15" hidden="false" customHeight="false" outlineLevel="0" collapsed="false">
      <c r="A505" s="17" t="n">
        <v>46357</v>
      </c>
      <c r="B505" s="18" t="s">
        <v>83</v>
      </c>
      <c r="C505" s="2" t="str">
        <f aca="false">VLOOKUP(B505,Targets!$A$2:$D$43,2,FALSE())</f>
        <v>North-East</v>
      </c>
      <c r="D505" s="19" t="n">
        <v>1380</v>
      </c>
      <c r="E505" s="19" t="n">
        <v>1092</v>
      </c>
      <c r="F505" s="20" t="n">
        <f aca="false">E505-D505</f>
        <v>-288</v>
      </c>
      <c r="G505" s="21" t="n">
        <f aca="false">IF(D505=0,0,F505/D505)</f>
        <v>-0.208695652173913</v>
      </c>
      <c r="H505" s="21" t="n">
        <f aca="false">IF(D505=0,0,E505/D505)</f>
        <v>0.791304347826087</v>
      </c>
      <c r="I505" s="21" t="n">
        <f aca="false">VLOOKUP(B505,Targets!$A$2:$D$43,3,FALSE())</f>
        <v>0.88</v>
      </c>
      <c r="J505" s="22" t="n">
        <f aca="false">H505-I505</f>
        <v>-0.0886956521739131</v>
      </c>
      <c r="K505" s="2" t="str">
        <f aca="false">IF(J505&lt;-Targets!$F$2,"Under",IF(J505&gt;Targets!$F$2,"Over","On Track"))</f>
        <v>Under</v>
      </c>
    </row>
  </sheetData>
  <conditionalFormatting sqref="G2:G505">
    <cfRule type="colorScale" priority="2">
      <colorScale>
        <cfvo type="num" val="-0.25"/>
        <cfvo type="num" val="0"/>
        <cfvo type="num" val="0.15"/>
        <color rgb="FFF8696B"/>
        <color rgb="FFFFFFFF"/>
        <color rgb="FF63BE7B"/>
      </colorScale>
    </cfRule>
  </conditionalFormatting>
  <conditionalFormatting sqref="K2:K505">
    <cfRule type="cellIs" priority="3" operator="equal" aboveAverage="0" equalAverage="0" bottom="0" percent="0" rank="0" text="" dxfId="0">
      <formula>"Under"</formula>
    </cfRule>
    <cfRule type="cellIs" priority="4" operator="equal" aboveAverage="0" equalAverage="0" bottom="0" percent="0" rank="0" text="" dxfId="223">
      <formula>"Over"</formula>
    </cfRule>
    <cfRule type="cellIs" priority="5" operator="equal" aboveAverage="0" equalAverage="0" bottom="0" percent="0" rank="0" text="" dxfId="224">
      <formula>"On Track"</formula>
    </cfRule>
  </conditionalFormatting>
  <conditionalFormatting sqref="H2:H505">
    <cfRule type="dataBar" priority="6">
      <dataBar showValue="1" minLength="10" maxLength="90">
        <cfvo type="num" val="0"/>
        <cfvo type="num" val="1.2"/>
        <color rgb="FF5B9BD5"/>
      </dataBar>
      <extLst>
        <ext xmlns:x14="http://schemas.microsoft.com/office/spreadsheetml/2009/9/main" uri="{B025F937-C7B1-47D3-B67F-A62EFF666E3E}">
          <x14:id>{E094D08D-30F5-47D1-978B-C4637F40E736}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94D08D-30F5-47D1-978B-C4637F40E736}">
            <x14:dataBar minLength="10" maxLength="90" axisPosition="none" gradient="true">
              <x14:cfvo type="num">
                <xm:f>0</xm:f>
              </x14:cfvo>
              <x14:cfvo type="num">
                <xm:f>1.2</xm:f>
              </x14:cfvo>
              <x14:negativeFillColor rgb="FF5B9BD5"/>
              <x14:axisColor rgb="FF000000"/>
            </x14:dataBar>
          </x14:cfRule>
          <xm:sqref>H2:H505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2026-10-14T03:07:04Z</dcterms:created>
  <dc:creator>openpyxl</dc:creator>
  <dc:description/>
  <dc:language>en-US</dc:language>
  <cp:lastModifiedBy/>
  <dcterms:modified xsi:type="dcterms:W3CDTF">2026-10-14T03:07:06Z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